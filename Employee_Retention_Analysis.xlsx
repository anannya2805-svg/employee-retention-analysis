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wnloads\"/>
    </mc:Choice>
  </mc:AlternateContent>
  <xr:revisionPtr revIDLastSave="0" documentId="8_{A65E4F54-E759-477E-A7B5-65B52EE91328}" xr6:coauthVersionLast="47" xr6:coauthVersionMax="47" xr10:uidLastSave="{00000000-0000-0000-0000-000000000000}"/>
  <bookViews>
    <workbookView xWindow="-108" yWindow="-108" windowWidth="23256" windowHeight="12456" firstSheet="1" activeTab="3" xr2:uid="{00000000-000D-0000-FFFF-FFFF00000000}"/>
  </bookViews>
  <sheets>
    <sheet name="Raw_Employee_Data" sheetId="1" r:id="rId1"/>
    <sheet name="Clean_Employee_Data" sheetId="4" r:id="rId2"/>
    <sheet name="Master_Departments" sheetId="2" r:id="rId3"/>
    <sheet name="Dashboard" sheetId="5" r:id="rId4"/>
    <sheet name="Statistical Analysis" sheetId="6" r:id="rId5"/>
  </sheets>
  <definedNames>
    <definedName name="Slicer_Department">#N/A</definedName>
    <definedName name="Slicer_TrainingComplete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6" l="1"/>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12" i="6"/>
  <c r="B9" i="6"/>
  <c r="B8" i="6"/>
  <c r="B7" i="6"/>
  <c r="L2" i="4"/>
  <c r="M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F12" i="6" l="1"/>
</calcChain>
</file>

<file path=xl/sharedStrings.xml><?xml version="1.0" encoding="utf-8"?>
<sst xmlns="http://schemas.openxmlformats.org/spreadsheetml/2006/main" count="4015" uniqueCount="715">
  <si>
    <t>EmployeeID</t>
  </si>
  <si>
    <t>FullName</t>
  </si>
  <si>
    <t>Department</t>
  </si>
  <si>
    <t>DeptCode</t>
  </si>
  <si>
    <t>JobRole</t>
  </si>
  <si>
    <t>MonthlyIncome</t>
  </si>
  <si>
    <t>OvertimeHours</t>
  </si>
  <si>
    <t>SatisfactionScore</t>
  </si>
  <si>
    <t>PerformanceRating</t>
  </si>
  <si>
    <t>TrainingCompleted</t>
  </si>
  <si>
    <t>Attrition</t>
  </si>
  <si>
    <t xml:space="preserve">Joseph Green   </t>
  </si>
  <si>
    <t>Marketing</t>
  </si>
  <si>
    <t>D04</t>
  </si>
  <si>
    <t>Brand Manager</t>
  </si>
  <si>
    <t xml:space="preserve">    YES</t>
  </si>
  <si>
    <t xml:space="preserve">  no</t>
  </si>
  <si>
    <t xml:space="preserve">  KATHLEEN JONES</t>
  </si>
  <si>
    <t xml:space="preserve">Finance   </t>
  </si>
  <si>
    <t>D05</t>
  </si>
  <si>
    <t>Accountant</t>
  </si>
  <si>
    <t xml:space="preserve">  No</t>
  </si>
  <si>
    <t>No</t>
  </si>
  <si>
    <t xml:space="preserve">mary smith   </t>
  </si>
  <si>
    <t>Engineering</t>
  </si>
  <si>
    <t>D02</t>
  </si>
  <si>
    <t>Senior Engineer</t>
  </si>
  <si>
    <t>Laura Jackson</t>
  </si>
  <si>
    <t xml:space="preserve">    Customer  Support</t>
  </si>
  <si>
    <t>D06</t>
  </si>
  <si>
    <t>Support Executive</t>
  </si>
  <si>
    <t xml:space="preserve">  Yes</t>
  </si>
  <si>
    <t xml:space="preserve">  Barbara Green</t>
  </si>
  <si>
    <t>Finance</t>
  </si>
  <si>
    <t>Finance Manager</t>
  </si>
  <si>
    <t xml:space="preserve">  NO</t>
  </si>
  <si>
    <t>Nancy Miller</t>
  </si>
  <si>
    <t xml:space="preserve">  ENGINEERING   </t>
  </si>
  <si>
    <t>Software Engineer</t>
  </si>
  <si>
    <t>yes</t>
  </si>
  <si>
    <t xml:space="preserve">Stephen Martin   </t>
  </si>
  <si>
    <t xml:space="preserve">  No   </t>
  </si>
  <si>
    <t xml:space="preserve">  no   </t>
  </si>
  <si>
    <t>Thomas White</t>
  </si>
  <si>
    <t>Content Strategist</t>
  </si>
  <si>
    <t xml:space="preserve">yes   </t>
  </si>
  <si>
    <t>Donald  Wilson</t>
  </si>
  <si>
    <t xml:space="preserve">RONALD MITCHELL   </t>
  </si>
  <si>
    <t xml:space="preserve">Human Resources   </t>
  </si>
  <si>
    <t>D03</t>
  </si>
  <si>
    <t>HR Manager</t>
  </si>
  <si>
    <t>Yes</t>
  </si>
  <si>
    <t xml:space="preserve">Donald Wright   </t>
  </si>
  <si>
    <t xml:space="preserve">Engineering      </t>
  </si>
  <si>
    <t>Shirley Martin</t>
  </si>
  <si>
    <t xml:space="preserve">Sales   </t>
  </si>
  <si>
    <t>D01</t>
  </si>
  <si>
    <t>Sales Manager</t>
  </si>
  <si>
    <t>Pamela  White</t>
  </si>
  <si>
    <t>Account Manager</t>
  </si>
  <si>
    <t xml:space="preserve">Dorothy Anderson   </t>
  </si>
  <si>
    <t xml:space="preserve">  Human Resources</t>
  </si>
  <si>
    <t>Recruiter</t>
  </si>
  <si>
    <t xml:space="preserve">NO   </t>
  </si>
  <si>
    <t>KEVIN BROWN</t>
  </si>
  <si>
    <t xml:space="preserve">  Engineering</t>
  </si>
  <si>
    <t xml:space="preserve">  Yes   </t>
  </si>
  <si>
    <t>NO</t>
  </si>
  <si>
    <t xml:space="preserve">Emily Roberts   </t>
  </si>
  <si>
    <t xml:space="preserve">  Customer Support   </t>
  </si>
  <si>
    <t xml:space="preserve">  karen adams   </t>
  </si>
  <si>
    <t>no</t>
  </si>
  <si>
    <t xml:space="preserve">  Christopher Anderson   </t>
  </si>
  <si>
    <t>customer  support</t>
  </si>
  <si>
    <t xml:space="preserve">  NO   </t>
  </si>
  <si>
    <t>Carol  Nelson</t>
  </si>
  <si>
    <t xml:space="preserve">Marketing   </t>
  </si>
  <si>
    <t xml:space="preserve">  Jennifer Harris   </t>
  </si>
  <si>
    <t>HR Executive</t>
  </si>
  <si>
    <t xml:space="preserve">JESSICA WALKER   </t>
  </si>
  <si>
    <t>Justin Davis</t>
  </si>
  <si>
    <t>HUMAN  RESOURCES</t>
  </si>
  <si>
    <t xml:space="preserve">Margaret Campbell   </t>
  </si>
  <si>
    <t>Sales</t>
  </si>
  <si>
    <t>Sharon Robinson</t>
  </si>
  <si>
    <t>Sales Executive</t>
  </si>
  <si>
    <t>Larry  Mitchell</t>
  </si>
  <si>
    <t xml:space="preserve">  Sales</t>
  </si>
  <si>
    <t xml:space="preserve">    yes</t>
  </si>
  <si>
    <t>William Rodriguez</t>
  </si>
  <si>
    <t>customer support</t>
  </si>
  <si>
    <t xml:space="preserve">  Angela Jackson</t>
  </si>
  <si>
    <t xml:space="preserve">Yes      </t>
  </si>
  <si>
    <t>Justin  Anderson</t>
  </si>
  <si>
    <t>Melissa Miller</t>
  </si>
  <si>
    <t xml:space="preserve">  YES   </t>
  </si>
  <si>
    <t xml:space="preserve">JEFFREY CARTER   </t>
  </si>
  <si>
    <t>WILLIAM MARTIN</t>
  </si>
  <si>
    <t>Kimberly Campbell</t>
  </si>
  <si>
    <t xml:space="preserve">  SALES</t>
  </si>
  <si>
    <t>NICOLE FLORES</t>
  </si>
  <si>
    <t>Customer Support</t>
  </si>
  <si>
    <t>Support Team Lead</t>
  </si>
  <si>
    <t xml:space="preserve">No   </t>
  </si>
  <si>
    <t>CHRISTOPHER MILLER</t>
  </si>
  <si>
    <t xml:space="preserve">William Anderson   </t>
  </si>
  <si>
    <t xml:space="preserve">  KEVIN JONES   </t>
  </si>
  <si>
    <t xml:space="preserve">YES   </t>
  </si>
  <si>
    <t xml:space="preserve">  Betty Martinez   </t>
  </si>
  <si>
    <t xml:space="preserve">    Yes</t>
  </si>
  <si>
    <t xml:space="preserve">    Dorothy  Martinez</t>
  </si>
  <si>
    <t xml:space="preserve">  finance   </t>
  </si>
  <si>
    <t>Financial Analyst</t>
  </si>
  <si>
    <t>Dorothy Roberts</t>
  </si>
  <si>
    <t xml:space="preserve">no   </t>
  </si>
  <si>
    <t xml:space="preserve">  YES</t>
  </si>
  <si>
    <t xml:space="preserve">  Emily Green</t>
  </si>
  <si>
    <t xml:space="preserve">marketing   </t>
  </si>
  <si>
    <t xml:space="preserve">brian hall   </t>
  </si>
  <si>
    <t>Kevin Robinson</t>
  </si>
  <si>
    <t xml:space="preserve">  CUSTOMER SUPPORT   </t>
  </si>
  <si>
    <t>Amanda Mitchell</t>
  </si>
  <si>
    <t xml:space="preserve">ENGINEERING   </t>
  </si>
  <si>
    <t xml:space="preserve">  Edward Lewis</t>
  </si>
  <si>
    <t xml:space="preserve">    No</t>
  </si>
  <si>
    <t xml:space="preserve">  Donna Brown   </t>
  </si>
  <si>
    <t xml:space="preserve">    LISA  GONZALEZ      </t>
  </si>
  <si>
    <t xml:space="preserve">customer support   </t>
  </si>
  <si>
    <t xml:space="preserve">    Pamela  Martin      </t>
  </si>
  <si>
    <t>Gary Martinez</t>
  </si>
  <si>
    <t xml:space="preserve">  Finance</t>
  </si>
  <si>
    <t xml:space="preserve">Yes   </t>
  </si>
  <si>
    <t xml:space="preserve">    Nancy  Taylor</t>
  </si>
  <si>
    <t xml:space="preserve">  Mark Hill   </t>
  </si>
  <si>
    <t>Steven Harris</t>
  </si>
  <si>
    <t xml:space="preserve">Finance      </t>
  </si>
  <si>
    <t xml:space="preserve">  donald anderson</t>
  </si>
  <si>
    <t xml:space="preserve">No      </t>
  </si>
  <si>
    <t xml:space="preserve">  gary nguyen   </t>
  </si>
  <si>
    <t>Jennifer Jackson</t>
  </si>
  <si>
    <t xml:space="preserve">JOSHUA THOMPSON   </t>
  </si>
  <si>
    <t>Anthony Jackson</t>
  </si>
  <si>
    <t>Human  Resources</t>
  </si>
  <si>
    <t>mark  moore</t>
  </si>
  <si>
    <t>human resources</t>
  </si>
  <si>
    <t xml:space="preserve">Amanda Hernandez   </t>
  </si>
  <si>
    <t xml:space="preserve">  customer support   </t>
  </si>
  <si>
    <t xml:space="preserve">  James Perez</t>
  </si>
  <si>
    <t>QA Engineer</t>
  </si>
  <si>
    <t xml:space="preserve">  joseph martin</t>
  </si>
  <si>
    <t>sales</t>
  </si>
  <si>
    <t>Christopher  Rivera</t>
  </si>
  <si>
    <t xml:space="preserve">finance      </t>
  </si>
  <si>
    <t xml:space="preserve">  SARAH KING</t>
  </si>
  <si>
    <t>marketing</t>
  </si>
  <si>
    <t>Marketing Executive</t>
  </si>
  <si>
    <t xml:space="preserve">NO      </t>
  </si>
  <si>
    <t>Jennifer  Gonzalez</t>
  </si>
  <si>
    <t xml:space="preserve">    No      </t>
  </si>
  <si>
    <t xml:space="preserve">  Elizabeth Green   </t>
  </si>
  <si>
    <t xml:space="preserve">  William Johnson</t>
  </si>
  <si>
    <t xml:space="preserve">  Richard Sanchez</t>
  </si>
  <si>
    <t>kenneth  miller</t>
  </si>
  <si>
    <t xml:space="preserve">  Marketing   </t>
  </si>
  <si>
    <t xml:space="preserve">  MICHAEL RIVERA</t>
  </si>
  <si>
    <t>patricia gonzalez</t>
  </si>
  <si>
    <t xml:space="preserve">    FINANCE      </t>
  </si>
  <si>
    <t xml:space="preserve">  JOSHUA JACKSON</t>
  </si>
  <si>
    <t xml:space="preserve">  Kevin Anderson</t>
  </si>
  <si>
    <t>YES</t>
  </si>
  <si>
    <t>KEVIN THOMPSON</t>
  </si>
  <si>
    <t>PAUL CARTER</t>
  </si>
  <si>
    <t>HUMAN RESOURCES</t>
  </si>
  <si>
    <t>Stephanie Adams</t>
  </si>
  <si>
    <t xml:space="preserve">sales   </t>
  </si>
  <si>
    <t xml:space="preserve">  Jason Jones</t>
  </si>
  <si>
    <t xml:space="preserve">  Lisa Flores</t>
  </si>
  <si>
    <t>Patricia Anderson</t>
  </si>
  <si>
    <t xml:space="preserve">    engineering</t>
  </si>
  <si>
    <t>Nancy Carter</t>
  </si>
  <si>
    <t xml:space="preserve">  ASHLEY RIVERA</t>
  </si>
  <si>
    <t xml:space="preserve">human resources   </t>
  </si>
  <si>
    <t xml:space="preserve">    no      </t>
  </si>
  <si>
    <t xml:space="preserve">    Kenneth  Jones</t>
  </si>
  <si>
    <t xml:space="preserve">  marketing   </t>
  </si>
  <si>
    <t xml:space="preserve">  Linda Clark</t>
  </si>
  <si>
    <t xml:space="preserve">Larry Moore   </t>
  </si>
  <si>
    <t>engineering</t>
  </si>
  <si>
    <t xml:space="preserve">    Brian  Baker</t>
  </si>
  <si>
    <t>Amy Thompson</t>
  </si>
  <si>
    <t xml:space="preserve">Engineering   </t>
  </si>
  <si>
    <t>William Moore</t>
  </si>
  <si>
    <t>SHIRLEY LEE</t>
  </si>
  <si>
    <t>SALES</t>
  </si>
  <si>
    <t xml:space="preserve">  SHIRLEY RAMIREZ   </t>
  </si>
  <si>
    <t xml:space="preserve">  Laura Taylor</t>
  </si>
  <si>
    <t xml:space="preserve">    HUMAN  RESOURCES</t>
  </si>
  <si>
    <t>CHRISTOPHER  KING</t>
  </si>
  <si>
    <t>finance</t>
  </si>
  <si>
    <t xml:space="preserve">Deborah Rivera   </t>
  </si>
  <si>
    <t xml:space="preserve">Sarah  King      </t>
  </si>
  <si>
    <t xml:space="preserve">  Nicholas Thomas</t>
  </si>
  <si>
    <t xml:space="preserve">Customer Support   </t>
  </si>
  <si>
    <t xml:space="preserve">  Betty Sanchez   </t>
  </si>
  <si>
    <t>MARKETING</t>
  </si>
  <si>
    <t xml:space="preserve">Lisa Rodriguez   </t>
  </si>
  <si>
    <t xml:space="preserve">SALES   </t>
  </si>
  <si>
    <t xml:space="preserve">Michelle  Scott      </t>
  </si>
  <si>
    <t xml:space="preserve">    Mary  Rodriguez</t>
  </si>
  <si>
    <t xml:space="preserve">  Engineering   </t>
  </si>
  <si>
    <t xml:space="preserve">    jason  harris      </t>
  </si>
  <si>
    <t>Nicholas Perez</t>
  </si>
  <si>
    <t xml:space="preserve">  human resources</t>
  </si>
  <si>
    <t>Kathleen Williams</t>
  </si>
  <si>
    <t xml:space="preserve">no      </t>
  </si>
  <si>
    <t xml:space="preserve">  Brenda Carter   </t>
  </si>
  <si>
    <t xml:space="preserve">  yes</t>
  </si>
  <si>
    <t xml:space="preserve">  Sarah Roberts</t>
  </si>
  <si>
    <t xml:space="preserve">  customer support</t>
  </si>
  <si>
    <t xml:space="preserve">    Yes      </t>
  </si>
  <si>
    <t>Linda Thompson</t>
  </si>
  <si>
    <t xml:space="preserve">  Finance   </t>
  </si>
  <si>
    <t>George  Gonzalez</t>
  </si>
  <si>
    <t xml:space="preserve">  Gary Wright   </t>
  </si>
  <si>
    <t xml:space="preserve">TIMOTHY WHITE   </t>
  </si>
  <si>
    <t xml:space="preserve">    Engineering      </t>
  </si>
  <si>
    <t xml:space="preserve">Jonathan  Lewis      </t>
  </si>
  <si>
    <t xml:space="preserve">MARKETING   </t>
  </si>
  <si>
    <t xml:space="preserve">  Mark Taylor</t>
  </si>
  <si>
    <t xml:space="preserve">MATTHEW YOUNG   </t>
  </si>
  <si>
    <t xml:space="preserve">    Human  Resources      </t>
  </si>
  <si>
    <t>Michelle Taylor</t>
  </si>
  <si>
    <t xml:space="preserve">  brenda brown   </t>
  </si>
  <si>
    <t>Human Resources</t>
  </si>
  <si>
    <t xml:space="preserve">  Stephanie Baker</t>
  </si>
  <si>
    <t xml:space="preserve">daniel lewis   </t>
  </si>
  <si>
    <t xml:space="preserve">  Joseph Johnson   </t>
  </si>
  <si>
    <t xml:space="preserve">  RYAN HILL</t>
  </si>
  <si>
    <t xml:space="preserve">human  resources      </t>
  </si>
  <si>
    <t>BETTY MARTIN</t>
  </si>
  <si>
    <t>SANDRA DAVIS</t>
  </si>
  <si>
    <t xml:space="preserve">  sales   </t>
  </si>
  <si>
    <t xml:space="preserve">  Cynthia Davis</t>
  </si>
  <si>
    <t xml:space="preserve">Anthony Adams   </t>
  </si>
  <si>
    <t xml:space="preserve">  Marketing</t>
  </si>
  <si>
    <t>Rebecca Hill</t>
  </si>
  <si>
    <t xml:space="preserve">  Sharon Perez   </t>
  </si>
  <si>
    <t>Nicole Thompson</t>
  </si>
  <si>
    <t xml:space="preserve">    Marketing</t>
  </si>
  <si>
    <t xml:space="preserve">  Stephen Clark   </t>
  </si>
  <si>
    <t>Amanda Hernandez</t>
  </si>
  <si>
    <t xml:space="preserve">Timothy Green   </t>
  </si>
  <si>
    <t xml:space="preserve">Susan Martinez   </t>
  </si>
  <si>
    <t xml:space="preserve">    NO      </t>
  </si>
  <si>
    <t xml:space="preserve">  sharon jones</t>
  </si>
  <si>
    <t>kimberly nelson</t>
  </si>
  <si>
    <t xml:space="preserve">marketing      </t>
  </si>
  <si>
    <t>Anthony Ramirez</t>
  </si>
  <si>
    <t xml:space="preserve">  engineering</t>
  </si>
  <si>
    <t xml:space="preserve">  jessica brown   </t>
  </si>
  <si>
    <t>michael nguyen</t>
  </si>
  <si>
    <t xml:space="preserve">    Engineering</t>
  </si>
  <si>
    <t xml:space="preserve">  kenneth robinson</t>
  </si>
  <si>
    <t xml:space="preserve">LISA HILL   </t>
  </si>
  <si>
    <t xml:space="preserve">    YES      </t>
  </si>
  <si>
    <t>Angela Harris</t>
  </si>
  <si>
    <t xml:space="preserve">  Patricia Perez   </t>
  </si>
  <si>
    <t xml:space="preserve">FINANCE   </t>
  </si>
  <si>
    <t xml:space="preserve">    William  Wilson</t>
  </si>
  <si>
    <t xml:space="preserve">  FINANCE   </t>
  </si>
  <si>
    <t xml:space="preserve">    Stephen  White      </t>
  </si>
  <si>
    <t xml:space="preserve">  Customer Support</t>
  </si>
  <si>
    <t xml:space="preserve">  Nicole Hill   </t>
  </si>
  <si>
    <t xml:space="preserve">  Dorothy Green   </t>
  </si>
  <si>
    <t xml:space="preserve">  William Sanchez</t>
  </si>
  <si>
    <t xml:space="preserve">  sales</t>
  </si>
  <si>
    <t xml:space="preserve">Michael Lopez   </t>
  </si>
  <si>
    <t>nancy perez</t>
  </si>
  <si>
    <t xml:space="preserve">  Matthew Nguyen</t>
  </si>
  <si>
    <t xml:space="preserve">  Joseph Martin   </t>
  </si>
  <si>
    <t xml:space="preserve">    Betty  Sanchez      </t>
  </si>
  <si>
    <t>Karen Nelson</t>
  </si>
  <si>
    <t>NICOLE JOHNSON</t>
  </si>
  <si>
    <t>Thomas Torres</t>
  </si>
  <si>
    <t>Karen White</t>
  </si>
  <si>
    <t xml:space="preserve">Human  Resources      </t>
  </si>
  <si>
    <t xml:space="preserve">  yes   </t>
  </si>
  <si>
    <t xml:space="preserve">richard williams   </t>
  </si>
  <si>
    <t xml:space="preserve">Sales      </t>
  </si>
  <si>
    <t xml:space="preserve">LISA ADAMS   </t>
  </si>
  <si>
    <t xml:space="preserve">  Betty White   </t>
  </si>
  <si>
    <t xml:space="preserve">    finance      </t>
  </si>
  <si>
    <t xml:space="preserve">Nicole Jackson   </t>
  </si>
  <si>
    <t>Angela Ramirez</t>
  </si>
  <si>
    <t>timothy robinson</t>
  </si>
  <si>
    <t xml:space="preserve">Margaret Torres   </t>
  </si>
  <si>
    <t xml:space="preserve">  LAURA RAMIREZ   </t>
  </si>
  <si>
    <t xml:space="preserve">  Sales   </t>
  </si>
  <si>
    <t>Thomas Hill</t>
  </si>
  <si>
    <t xml:space="preserve">  SANDRA MARTIN</t>
  </si>
  <si>
    <t>FINANCE</t>
  </si>
  <si>
    <t xml:space="preserve">Brenda Torres   </t>
  </si>
  <si>
    <t xml:space="preserve">  Brian Martinez</t>
  </si>
  <si>
    <t xml:space="preserve">Brenda Davis   </t>
  </si>
  <si>
    <t>Jennifer Rivera</t>
  </si>
  <si>
    <t xml:space="preserve">  Scott Green</t>
  </si>
  <si>
    <t xml:space="preserve">  JENNIFER SANCHEZ   </t>
  </si>
  <si>
    <t>barbara adams</t>
  </si>
  <si>
    <t xml:space="preserve">GEORGE HALL   </t>
  </si>
  <si>
    <t xml:space="preserve">yes      </t>
  </si>
  <si>
    <t xml:space="preserve">    Jennifer  Nguyen      </t>
  </si>
  <si>
    <t>Susan Nguyen</t>
  </si>
  <si>
    <t xml:space="preserve">MARKETING      </t>
  </si>
  <si>
    <t>Anthony Martinez</t>
  </si>
  <si>
    <t xml:space="preserve">Nancy Baker   </t>
  </si>
  <si>
    <t>George  Lewis</t>
  </si>
  <si>
    <t xml:space="preserve">  Stephen Green</t>
  </si>
  <si>
    <t>JAMES BAKER</t>
  </si>
  <si>
    <t xml:space="preserve">  Sharon Gonzalez   </t>
  </si>
  <si>
    <t xml:space="preserve">Carol Mitchell   </t>
  </si>
  <si>
    <t>Customer  Support</t>
  </si>
  <si>
    <t xml:space="preserve">  KATHLEEN BROWN   </t>
  </si>
  <si>
    <t>Emma Wright</t>
  </si>
  <si>
    <t xml:space="preserve">  Donna Carter</t>
  </si>
  <si>
    <t xml:space="preserve">  Deborah Lopez</t>
  </si>
  <si>
    <t>MATTHEW TAYLOR</t>
  </si>
  <si>
    <t xml:space="preserve">  PAUL DAVIS</t>
  </si>
  <si>
    <t xml:space="preserve">  larry perez</t>
  </si>
  <si>
    <t xml:space="preserve">  finance</t>
  </si>
  <si>
    <t>Mark Martin</t>
  </si>
  <si>
    <t>Susan Allen</t>
  </si>
  <si>
    <t xml:space="preserve">William Clark   </t>
  </si>
  <si>
    <t xml:space="preserve">  Elizabeth Davis   </t>
  </si>
  <si>
    <t xml:space="preserve">HUMAN RESOURCES   </t>
  </si>
  <si>
    <t>Emily Lee</t>
  </si>
  <si>
    <t xml:space="preserve">Jeffrey Adams   </t>
  </si>
  <si>
    <t xml:space="preserve">Scott Thomas   </t>
  </si>
  <si>
    <t>Sharon Rodriguez</t>
  </si>
  <si>
    <t xml:space="preserve">  Gary Moore   </t>
  </si>
  <si>
    <t>Joshua Thomas</t>
  </si>
  <si>
    <t xml:space="preserve">  richard lopez</t>
  </si>
  <si>
    <t>emily  martin</t>
  </si>
  <si>
    <t>Daniel Miller</t>
  </si>
  <si>
    <t>Susan  Lopez</t>
  </si>
  <si>
    <t xml:space="preserve">    Andrew  Perez</t>
  </si>
  <si>
    <t>Angela Jones</t>
  </si>
  <si>
    <t xml:space="preserve">  Nicholas Wilson</t>
  </si>
  <si>
    <t>Jeffrey Nelson</t>
  </si>
  <si>
    <t>gary lopez</t>
  </si>
  <si>
    <t xml:space="preserve">    Human  Resources</t>
  </si>
  <si>
    <t xml:space="preserve">Rebecca Green   </t>
  </si>
  <si>
    <t>david rodriguez</t>
  </si>
  <si>
    <t xml:space="preserve">  Linda Flores   </t>
  </si>
  <si>
    <t>Kathleen Allen</t>
  </si>
  <si>
    <t>Jacob Harris</t>
  </si>
  <si>
    <t xml:space="preserve">  Joshua Green   </t>
  </si>
  <si>
    <t>Matthew Williams</t>
  </si>
  <si>
    <t>Richard Clark</t>
  </si>
  <si>
    <t xml:space="preserve">Brandon Hernandez   </t>
  </si>
  <si>
    <t xml:space="preserve">joshua garcia   </t>
  </si>
  <si>
    <t xml:space="preserve">Kevin Lee   </t>
  </si>
  <si>
    <t xml:space="preserve">    Linda  White</t>
  </si>
  <si>
    <t>Joseph Baker</t>
  </si>
  <si>
    <t xml:space="preserve">  Ryan Garcia</t>
  </si>
  <si>
    <t>SARAH DAVIS</t>
  </si>
  <si>
    <t>Daniel Flores</t>
  </si>
  <si>
    <t xml:space="preserve">  MARKETING</t>
  </si>
  <si>
    <t>steven  lewis</t>
  </si>
  <si>
    <t xml:space="preserve">    Nancy  Brown</t>
  </si>
  <si>
    <t>CUSTOMER  SUPPORT</t>
  </si>
  <si>
    <t>Emily Carter</t>
  </si>
  <si>
    <t>Helen Taylor</t>
  </si>
  <si>
    <t>helen  lewis</t>
  </si>
  <si>
    <t xml:space="preserve">  Linda Williams</t>
  </si>
  <si>
    <t xml:space="preserve">    George  Allen</t>
  </si>
  <si>
    <t xml:space="preserve">  Stephen Lee   </t>
  </si>
  <si>
    <t xml:space="preserve">  Donna Mitchell</t>
  </si>
  <si>
    <t xml:space="preserve">Thomas Jackson   </t>
  </si>
  <si>
    <t xml:space="preserve">Jonathan  Walker      </t>
  </si>
  <si>
    <t xml:space="preserve">    RICHARD  NGUYEN</t>
  </si>
  <si>
    <t>laura sanchez</t>
  </si>
  <si>
    <t>Laura Roberts</t>
  </si>
  <si>
    <t xml:space="preserve">Steven Hall   </t>
  </si>
  <si>
    <t xml:space="preserve">patricia thompson   </t>
  </si>
  <si>
    <t xml:space="preserve">Emma  Taylor      </t>
  </si>
  <si>
    <t xml:space="preserve">  HUMAN RESOURCES   </t>
  </si>
  <si>
    <t xml:space="preserve">  Karen Williams   </t>
  </si>
  <si>
    <t xml:space="preserve">Betty Martin   </t>
  </si>
  <si>
    <t xml:space="preserve">    human  resources</t>
  </si>
  <si>
    <t>John Green</t>
  </si>
  <si>
    <t>BETTY LEWIS</t>
  </si>
  <si>
    <t xml:space="preserve">Gary Hall   </t>
  </si>
  <si>
    <t xml:space="preserve">MARK SANCHEZ   </t>
  </si>
  <si>
    <t xml:space="preserve">Gary Miller   </t>
  </si>
  <si>
    <t xml:space="preserve">  JAMES MITCHELL</t>
  </si>
  <si>
    <t xml:space="preserve">Betty Wright   </t>
  </si>
  <si>
    <t xml:space="preserve">  Amy White</t>
  </si>
  <si>
    <t xml:space="preserve">  rebecca moore</t>
  </si>
  <si>
    <t xml:space="preserve">Margaret  Clark      </t>
  </si>
  <si>
    <t xml:space="preserve">  Patricia Anderson   </t>
  </si>
  <si>
    <t xml:space="preserve">Margaret Martinez   </t>
  </si>
  <si>
    <t xml:space="preserve">  SARAH KING   </t>
  </si>
  <si>
    <t xml:space="preserve">Michelle Sanchez   </t>
  </si>
  <si>
    <t>ERIC JONES</t>
  </si>
  <si>
    <t xml:space="preserve">  Carol Jones   </t>
  </si>
  <si>
    <t xml:space="preserve">  David Thomas</t>
  </si>
  <si>
    <t xml:space="preserve">Christopher Flores   </t>
  </si>
  <si>
    <t>Larry Johnson</t>
  </si>
  <si>
    <t>Melissa Jones</t>
  </si>
  <si>
    <t xml:space="preserve">Sarah  Robinson      </t>
  </si>
  <si>
    <t>Robert Wilson</t>
  </si>
  <si>
    <t>Carol Nelson</t>
  </si>
  <si>
    <t>Sharon Nelson</t>
  </si>
  <si>
    <t xml:space="preserve">  Scott Hall</t>
  </si>
  <si>
    <t>jeffrey perez</t>
  </si>
  <si>
    <t>Anna Mitchell</t>
  </si>
  <si>
    <t>Linda Wilson</t>
  </si>
  <si>
    <t>Barbara Davis</t>
  </si>
  <si>
    <t xml:space="preserve">  larry smith</t>
  </si>
  <si>
    <t xml:space="preserve">  Sandra Ramirez</t>
  </si>
  <si>
    <t>Betty Martinez</t>
  </si>
  <si>
    <t>joseph  anderson</t>
  </si>
  <si>
    <t>Anthony Wilson</t>
  </si>
  <si>
    <t>lisa  hall</t>
  </si>
  <si>
    <t>Lisa Miller</t>
  </si>
  <si>
    <t>Brenda  Miller</t>
  </si>
  <si>
    <t xml:space="preserve">SALES      </t>
  </si>
  <si>
    <t>Pamela Wright</t>
  </si>
  <si>
    <t xml:space="preserve">Ashley  Johnson      </t>
  </si>
  <si>
    <t>Emily Nelson</t>
  </si>
  <si>
    <t xml:space="preserve">Carol Thomas   </t>
  </si>
  <si>
    <t>James Torres</t>
  </si>
  <si>
    <t xml:space="preserve">  patricia johnson   </t>
  </si>
  <si>
    <t xml:space="preserve">    Sarah  Ramirez</t>
  </si>
  <si>
    <t xml:space="preserve">Charles Young   </t>
  </si>
  <si>
    <t xml:space="preserve">  Sarah Hall</t>
  </si>
  <si>
    <t>larry nguyen</t>
  </si>
  <si>
    <t>emily wright</t>
  </si>
  <si>
    <t xml:space="preserve">  Betty Martin   </t>
  </si>
  <si>
    <t>Jacob Jones</t>
  </si>
  <si>
    <t xml:space="preserve">    Jessica  Rivera</t>
  </si>
  <si>
    <t xml:space="preserve">  Timothy Allen   </t>
  </si>
  <si>
    <t xml:space="preserve">  MARKETING   </t>
  </si>
  <si>
    <t xml:space="preserve">christopher white   </t>
  </si>
  <si>
    <t xml:space="preserve">James Baker   </t>
  </si>
  <si>
    <t>ENGINEERING</t>
  </si>
  <si>
    <t xml:space="preserve">Nicole Torres   </t>
  </si>
  <si>
    <t xml:space="preserve">sales      </t>
  </si>
  <si>
    <t xml:space="preserve">Jason Clark   </t>
  </si>
  <si>
    <t xml:space="preserve">  Susan Green</t>
  </si>
  <si>
    <t>JASON  LOPEZ</t>
  </si>
  <si>
    <t xml:space="preserve">  ENGINEERING</t>
  </si>
  <si>
    <t>LAURA JOHNSON</t>
  </si>
  <si>
    <t>KIMBERLY RIVERA</t>
  </si>
  <si>
    <t xml:space="preserve">    Edward  Scott      </t>
  </si>
  <si>
    <t>Eric Gonzalez</t>
  </si>
  <si>
    <t>Rebecca  Jackson</t>
  </si>
  <si>
    <t>DepartmentName</t>
  </si>
  <si>
    <t>Dorothy Martinez</t>
  </si>
  <si>
    <t>Gary Nguyen</t>
  </si>
  <si>
    <t>William Wilson</t>
  </si>
  <si>
    <t>Christopher King</t>
  </si>
  <si>
    <t>Deborah Rivera</t>
  </si>
  <si>
    <t>Sarah Ramirez</t>
  </si>
  <si>
    <t>Lisa Hill</t>
  </si>
  <si>
    <t>Richard Sanchez</t>
  </si>
  <si>
    <t>Paul Carter</t>
  </si>
  <si>
    <t>Stephen Clark</t>
  </si>
  <si>
    <t>Timothy Allen</t>
  </si>
  <si>
    <t>Jennifer Sanchez</t>
  </si>
  <si>
    <t>Gary Moore</t>
  </si>
  <si>
    <t>Edward Lewis</t>
  </si>
  <si>
    <t>Laura Ramirez</t>
  </si>
  <si>
    <t>Ryan Garcia</t>
  </si>
  <si>
    <t>Ashley Johnson</t>
  </si>
  <si>
    <t>Mark Taylor</t>
  </si>
  <si>
    <t>Nancy Perez</t>
  </si>
  <si>
    <t>Helen Lewis</t>
  </si>
  <si>
    <t>William Johnson</t>
  </si>
  <si>
    <t>Betty Sanchez</t>
  </si>
  <si>
    <t>Larry Moore</t>
  </si>
  <si>
    <t>Sandra Davis</t>
  </si>
  <si>
    <t>Lisa Flores</t>
  </si>
  <si>
    <t>Betty Martin</t>
  </si>
  <si>
    <t>Nancy Baker</t>
  </si>
  <si>
    <t>George Lewis</t>
  </si>
  <si>
    <t>James Mitchell</t>
  </si>
  <si>
    <t>Ashley Rivera</t>
  </si>
  <si>
    <t>Kimberly Rivera</t>
  </si>
  <si>
    <t>Jonathan Walker</t>
  </si>
  <si>
    <t>George Gonzalez</t>
  </si>
  <si>
    <t>Gary Miller</t>
  </si>
  <si>
    <t>Ronald Mitchell</t>
  </si>
  <si>
    <t>Susan Green</t>
  </si>
  <si>
    <t>Lisa Adams</t>
  </si>
  <si>
    <t>Christopher Rivera</t>
  </si>
  <si>
    <t>Rebecca Green</t>
  </si>
  <si>
    <t>Donna Carter</t>
  </si>
  <si>
    <t>Sarah King</t>
  </si>
  <si>
    <t>Stephen Green</t>
  </si>
  <si>
    <t>Jason Clark</t>
  </si>
  <si>
    <t>Jennifer Gonzalez</t>
  </si>
  <si>
    <t>Michelle Scott</t>
  </si>
  <si>
    <t>Margaret Martinez</t>
  </si>
  <si>
    <t>Michael Rivera</t>
  </si>
  <si>
    <t>Larry Perez</t>
  </si>
  <si>
    <t>William Anderson</t>
  </si>
  <si>
    <t>Patricia Thompson</t>
  </si>
  <si>
    <t>Scott Green</t>
  </si>
  <si>
    <t>Kathleen Brown</t>
  </si>
  <si>
    <t>Sarah Roberts</t>
  </si>
  <si>
    <t>Nancy Taylor</t>
  </si>
  <si>
    <t>Matthew Nguyen</t>
  </si>
  <si>
    <t>Eric Jones</t>
  </si>
  <si>
    <t>Matthew Taylor</t>
  </si>
  <si>
    <t>Sharon Gonzalez</t>
  </si>
  <si>
    <t>Joseph Martin</t>
  </si>
  <si>
    <t>Stephen Martin</t>
  </si>
  <si>
    <t>Kevin Lee</t>
  </si>
  <si>
    <t>Angela Jackson</t>
  </si>
  <si>
    <t>Patricia Gonzalez</t>
  </si>
  <si>
    <t>Richard Nguyen</t>
  </si>
  <si>
    <t>Justin Anderson</t>
  </si>
  <si>
    <t>Patricia Perez</t>
  </si>
  <si>
    <t>Pamela White</t>
  </si>
  <si>
    <t>George Allen</t>
  </si>
  <si>
    <t>Richard Lopez</t>
  </si>
  <si>
    <t>Jennifer Nguyen</t>
  </si>
  <si>
    <t>Brian Hall</t>
  </si>
  <si>
    <t>Emily Martin</t>
  </si>
  <si>
    <t>Barbara Adams</t>
  </si>
  <si>
    <t>Stephen White</t>
  </si>
  <si>
    <t>Shirley Ramirez</t>
  </si>
  <si>
    <t>Nicole Flores</t>
  </si>
  <si>
    <t>Joseph Anderson</t>
  </si>
  <si>
    <t>Joseph Green</t>
  </si>
  <si>
    <t>Joseph Johnson</t>
  </si>
  <si>
    <t>Laura Sanchez</t>
  </si>
  <si>
    <t>Ryan Hill</t>
  </si>
  <si>
    <t>Carol Mitchell</t>
  </si>
  <si>
    <t>Nicole Jackson</t>
  </si>
  <si>
    <t>Linda Clark</t>
  </si>
  <si>
    <t>Nicole Torres</t>
  </si>
  <si>
    <t>Sarah Davis</t>
  </si>
  <si>
    <t>Stephanie Baker</t>
  </si>
  <si>
    <t>Joshua Jackson</t>
  </si>
  <si>
    <t>Mary Rodriguez</t>
  </si>
  <si>
    <t>Kenneth Jones</t>
  </si>
  <si>
    <t>Edward Scott</t>
  </si>
  <si>
    <t>Steven Hall</t>
  </si>
  <si>
    <t>William Sanchez</t>
  </si>
  <si>
    <t>Margaret Torres</t>
  </si>
  <si>
    <t>William Clark</t>
  </si>
  <si>
    <t>Anthony Adams</t>
  </si>
  <si>
    <t>Michael Lopez</t>
  </si>
  <si>
    <t>Christopher White</t>
  </si>
  <si>
    <t>Nicholas Thomas</t>
  </si>
  <si>
    <t>Richard Williams</t>
  </si>
  <si>
    <t>Jennifer Harris</t>
  </si>
  <si>
    <t>Amy White</t>
  </si>
  <si>
    <t>Emily Green</t>
  </si>
  <si>
    <t>Michael Nguyen</t>
  </si>
  <si>
    <t>Nicole Hill</t>
  </si>
  <si>
    <t>Cynthia Davis</t>
  </si>
  <si>
    <t>Linda White</t>
  </si>
  <si>
    <t>Donna Mitchell</t>
  </si>
  <si>
    <t>Margaret Campbell</t>
  </si>
  <si>
    <t>Jeffrey Carter</t>
  </si>
  <si>
    <t>Larry Mitchell</t>
  </si>
  <si>
    <t>Shirley Lee</t>
  </si>
  <si>
    <t>Jessica Rivera</t>
  </si>
  <si>
    <t>Joshua Thompson</t>
  </si>
  <si>
    <t>Christopher Miller</t>
  </si>
  <si>
    <t>Emily Roberts</t>
  </si>
  <si>
    <t>Pamela Martin</t>
  </si>
  <si>
    <t>Kenneth Miller</t>
  </si>
  <si>
    <t>Lisa Hall</t>
  </si>
  <si>
    <t>Linda Flores</t>
  </si>
  <si>
    <t>Paul Davis</t>
  </si>
  <si>
    <t>Betty White</t>
  </si>
  <si>
    <t>Jason Harris</t>
  </si>
  <si>
    <t>Donna Brown</t>
  </si>
  <si>
    <t>Jonathan Lewis</t>
  </si>
  <si>
    <t>Matthew Young</t>
  </si>
  <si>
    <t>Dorothy Anderson</t>
  </si>
  <si>
    <t>Donald Wright</t>
  </si>
  <si>
    <t>Patricia Johnson</t>
  </si>
  <si>
    <t>Timothy Green</t>
  </si>
  <si>
    <t>James Perez</t>
  </si>
  <si>
    <t>Kenneth Robinson</t>
  </si>
  <si>
    <t>James Baker</t>
  </si>
  <si>
    <t>Dorothy Green</t>
  </si>
  <si>
    <t>Susan Martinez</t>
  </si>
  <si>
    <t>Brandon Hernandez</t>
  </si>
  <si>
    <t>Rebecca Jackson</t>
  </si>
  <si>
    <t>Christopher Flores</t>
  </si>
  <si>
    <t>Betty Wright</t>
  </si>
  <si>
    <t>Scott Hall</t>
  </si>
  <si>
    <t>Brenda Miller</t>
  </si>
  <si>
    <t>Lisa Gonzalez</t>
  </si>
  <si>
    <t>Kevin Brown</t>
  </si>
  <si>
    <t>Sharon Jones</t>
  </si>
  <si>
    <t>Elizabeth Davis</t>
  </si>
  <si>
    <t>Karen Williams</t>
  </si>
  <si>
    <t>George Hall</t>
  </si>
  <si>
    <t>Karen Adams</t>
  </si>
  <si>
    <t>Deborah Lopez</t>
  </si>
  <si>
    <t>Donald Wilson</t>
  </si>
  <si>
    <t>Timothy Robinson</t>
  </si>
  <si>
    <t>Mark Sanchez</t>
  </si>
  <si>
    <t>Sarah Hall</t>
  </si>
  <si>
    <t>Nancy Brown</t>
  </si>
  <si>
    <t>Jessica Brown</t>
  </si>
  <si>
    <t>Mark Moore</t>
  </si>
  <si>
    <t>Nicholas Wilson</t>
  </si>
  <si>
    <t>Betty Lewis</t>
  </si>
  <si>
    <t>Brenda Brown</t>
  </si>
  <si>
    <t>Mary Smith</t>
  </si>
  <si>
    <t>William Martin</t>
  </si>
  <si>
    <t>Laura Taylor</t>
  </si>
  <si>
    <t>Timothy White</t>
  </si>
  <si>
    <t>Jason Jones</t>
  </si>
  <si>
    <t>Scott Thomas</t>
  </si>
  <si>
    <t>Susan Lopez</t>
  </si>
  <si>
    <t>David Thomas</t>
  </si>
  <si>
    <t>Joshua Garcia</t>
  </si>
  <si>
    <t>Kimberly Nelson</t>
  </si>
  <si>
    <t>Laura Johnson</t>
  </si>
  <si>
    <t>Gary Hall</t>
  </si>
  <si>
    <t>Joshua Green</t>
  </si>
  <si>
    <t>Brian Martinez</t>
  </si>
  <si>
    <t>Charles Young</t>
  </si>
  <si>
    <t>Lisa Rodriguez</t>
  </si>
  <si>
    <t>David Rodriguez</t>
  </si>
  <si>
    <t>Thomas Jackson</t>
  </si>
  <si>
    <t>Barbara Green</t>
  </si>
  <si>
    <t>Stephen Lee</t>
  </si>
  <si>
    <t>Emily Wright</t>
  </si>
  <si>
    <t>Kevin Anderson</t>
  </si>
  <si>
    <t>Emma Taylor</t>
  </si>
  <si>
    <t>Mark Hill</t>
  </si>
  <si>
    <t>Brian Baker</t>
  </si>
  <si>
    <t>Sarah Robinson</t>
  </si>
  <si>
    <t>Rebecca Moore</t>
  </si>
  <si>
    <t>Brenda Carter</t>
  </si>
  <si>
    <t>Larry Smith</t>
  </si>
  <si>
    <t>Nicole Johnson</t>
  </si>
  <si>
    <t>Michelle Sanchez</t>
  </si>
  <si>
    <t>Gary Wright</t>
  </si>
  <si>
    <t>Sharon Perez</t>
  </si>
  <si>
    <t>Brenda Davis</t>
  </si>
  <si>
    <t>Jeffrey Adams</t>
  </si>
  <si>
    <t>Jessica Walker</t>
  </si>
  <si>
    <t>Donald Anderson</t>
  </si>
  <si>
    <t>Gary Lopez</t>
  </si>
  <si>
    <t>Margaret Clark</t>
  </si>
  <si>
    <t>Carol Jones</t>
  </si>
  <si>
    <t>Jeffrey Perez</t>
  </si>
  <si>
    <t>Elizabeth Green</t>
  </si>
  <si>
    <t>Kevin Jones</t>
  </si>
  <si>
    <t>Linda Williams</t>
  </si>
  <si>
    <t>Andrew Perez</t>
  </si>
  <si>
    <t>Larry Nguyen</t>
  </si>
  <si>
    <t>Sandra Martin</t>
  </si>
  <si>
    <t>Daniel Lewis</t>
  </si>
  <si>
    <t>Brenda Torres</t>
  </si>
  <si>
    <t>Sandra Ramirez</t>
  </si>
  <si>
    <t>Kathleen Jones</t>
  </si>
  <si>
    <t>Steven Lewis</t>
  </si>
  <si>
    <t>Christopher Anderson</t>
  </si>
  <si>
    <t>Kevin Thompson</t>
  </si>
  <si>
    <t>Carol Thomas</t>
  </si>
  <si>
    <t>Jason Lopez</t>
  </si>
  <si>
    <t>AttritionFlag</t>
  </si>
  <si>
    <t>IncomeBracket</t>
  </si>
  <si>
    <t>OvertimeBucket</t>
  </si>
  <si>
    <t>Row Labels</t>
  </si>
  <si>
    <t>Grand Total</t>
  </si>
  <si>
    <t>High (15h+)</t>
  </si>
  <si>
    <t>Low (&lt;5h)</t>
  </si>
  <si>
    <t>Medium (5-14h)</t>
  </si>
  <si>
    <t>High</t>
  </si>
  <si>
    <t>Low</t>
  </si>
  <si>
    <t>Mid</t>
  </si>
  <si>
    <t>Correlation b/w overtime &amp; attrition</t>
  </si>
  <si>
    <t>Correlation b/w overtime &amp; satisfaction</t>
  </si>
  <si>
    <t>Correlation b/w income &amp; attrition</t>
  </si>
  <si>
    <t>Weak-to-moderate positive</t>
  </si>
  <si>
    <t>Moderate negative</t>
  </si>
  <si>
    <t>No meaningful correlation</t>
  </si>
  <si>
    <t>Value</t>
  </si>
  <si>
    <t>Interpretation</t>
  </si>
  <si>
    <t>Condition</t>
  </si>
  <si>
    <t>TrainedPerformance</t>
  </si>
  <si>
    <t>UntrainedPerformance</t>
  </si>
  <si>
    <t>T Test</t>
  </si>
  <si>
    <t>statistically significant, training genuinely improves performance</t>
  </si>
  <si>
    <t xml:space="preserve">p-value = 3.20E-08 (p &lt; 0.05)  </t>
  </si>
  <si>
    <t>Average of MonthlyIncome</t>
  </si>
  <si>
    <t>StdDev of MonthlyIncome</t>
  </si>
  <si>
    <t>Count of MonthlyIncome</t>
  </si>
  <si>
    <t>Employee Retention &amp; Productivity Dashboard</t>
  </si>
  <si>
    <t>1) Attrition Rate by Department</t>
  </si>
  <si>
    <t>2) Overtime vs Satisfaction &amp; Attrition</t>
  </si>
  <si>
    <t>3) Performance Rating by Training Completed</t>
  </si>
  <si>
    <t>4) Attrition Rate by Income Bracket</t>
  </si>
  <si>
    <t>Attrition Rate</t>
  </si>
  <si>
    <t>Statistical Analysis</t>
  </si>
  <si>
    <t xml:space="preserve"> Attrition Rate</t>
  </si>
  <si>
    <t>Avg Satisfaction Score</t>
  </si>
  <si>
    <t>Avg Performance Rating</t>
  </si>
  <si>
    <t xml:space="preserve"> Attrition Rate                              </t>
  </si>
  <si>
    <t>Income Bracket</t>
  </si>
  <si>
    <t>Training Completed</t>
  </si>
  <si>
    <t>Overtime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</si>
</sst>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10">
    <font>
      <sz val="11"/>
      <color theme="1"/>
      <name val="Calibri"/>
      <family val="2"/>
      <scheme val="minor"/>
    </font>
    <font>
      <b/>
      <sz val="11"/>
      <color rgb="FFFFFFFF"/>
      <name val="Arial"/>
    </font>
    <font>
      <sz val="10"/>
      <name val="Arial"/>
    </font>
    <font>
      <b/>
      <sz val="11"/>
      <color theme="1"/>
      <name val="Calibri"/>
      <family val="2"/>
      <scheme val="minor"/>
    </font>
    <font>
      <sz val="10"/>
      <color theme="1"/>
      <name val="Arial Unicode MS"/>
    </font>
    <font>
      <b/>
      <sz val="12"/>
      <name val="Arial"/>
      <family val="2"/>
    </font>
    <font>
      <sz val="14"/>
      <color theme="1"/>
      <name val="Calibri"/>
      <family val="2"/>
      <scheme val="minor"/>
    </font>
    <font>
      <sz val="16"/>
      <color theme="1"/>
      <name val="Calibri"/>
      <family val="2"/>
      <scheme val="minor"/>
    </font>
    <font>
      <b/>
      <sz val="18"/>
      <color theme="1"/>
      <name val="Calibri"/>
      <family val="2"/>
      <scheme val="minor"/>
    </font>
    <font>
      <b/>
      <sz val="14"/>
      <color theme="6" tint="-0.499984740745262"/>
      <name val="Arial"/>
      <family val="2"/>
    </font>
  </fonts>
  <fills count="8">
    <fill>
      <patternFill patternType="none"/>
    </fill>
    <fill>
      <patternFill patternType="gray125"/>
    </fill>
    <fill>
      <patternFill patternType="solid">
        <fgColor rgb="FF4472C4"/>
        <bgColor rgb="FF4472C4"/>
      </patternFill>
    </fill>
    <fill>
      <patternFill patternType="solid">
        <fgColor rgb="FFFFFF0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6" tint="0.59999389629810485"/>
        <bgColor indexed="64"/>
      </patternFill>
    </fill>
    <fill>
      <patternFill patternType="solid">
        <fgColor theme="6" tint="0.39997558519241921"/>
        <bgColor indexed="64"/>
      </patternFill>
    </fill>
  </fills>
  <borders count="19">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rgb="FFFFC000"/>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rgb="FFFFC000"/>
      </left>
      <right style="thin">
        <color rgb="FFFFC000"/>
      </right>
      <top style="thin">
        <color rgb="FFFFC000"/>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style="medium">
        <color rgb="FFFFC000"/>
      </left>
      <right/>
      <top style="medium">
        <color rgb="FFFFC000"/>
      </top>
      <bottom style="medium">
        <color rgb="FFFFC000"/>
      </bottom>
      <diagonal/>
    </border>
    <border>
      <left/>
      <right/>
      <top style="medium">
        <color rgb="FFFFC000"/>
      </top>
      <bottom style="medium">
        <color rgb="FFFFC000"/>
      </bottom>
      <diagonal/>
    </border>
    <border>
      <left/>
      <right style="medium">
        <color rgb="FFFFC000"/>
      </right>
      <top style="medium">
        <color rgb="FFFFC000"/>
      </top>
      <bottom style="medium">
        <color rgb="FFFFC000"/>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0" borderId="0" xfId="0" applyFont="1"/>
    <xf numFmtId="0" fontId="0" fillId="0" borderId="0" xfId="0" applyAlignment="1">
      <alignment horizontal="left"/>
    </xf>
    <xf numFmtId="0" fontId="2" fillId="0" borderId="0" xfId="0" applyFont="1" applyAlignment="1">
      <alignment horizontal="left"/>
    </xf>
    <xf numFmtId="0" fontId="0" fillId="0" borderId="0" xfId="0" pivotButton="1"/>
    <xf numFmtId="2" fontId="0" fillId="0" borderId="0" xfId="0" applyNumberFormat="1"/>
    <xf numFmtId="0" fontId="3" fillId="0" borderId="0" xfId="0" applyFont="1" applyAlignment="1">
      <alignment wrapText="1"/>
    </xf>
    <xf numFmtId="0" fontId="0" fillId="0" borderId="0" xfId="0" applyAlignment="1">
      <alignment horizontal="center"/>
    </xf>
    <xf numFmtId="0" fontId="0" fillId="4" borderId="0" xfId="0" applyFill="1" applyAlignment="1">
      <alignment horizontal="center" vertical="center"/>
    </xf>
    <xf numFmtId="0" fontId="4" fillId="0" borderId="0" xfId="0" applyFont="1"/>
    <xf numFmtId="0" fontId="2" fillId="0" borderId="0" xfId="0" applyFont="1" applyAlignment="1">
      <alignment horizontal="center"/>
    </xf>
    <xf numFmtId="0" fontId="3" fillId="0" borderId="0" xfId="0" applyFont="1"/>
    <xf numFmtId="0" fontId="3" fillId="0" borderId="4" xfId="0" applyFont="1" applyBorder="1" applyAlignment="1">
      <alignment horizontal="center"/>
    </xf>
    <xf numFmtId="0" fontId="3" fillId="0" borderId="2" xfId="0" applyFont="1" applyBorder="1" applyAlignment="1">
      <alignment horizontal="center"/>
    </xf>
    <xf numFmtId="164" fontId="0" fillId="0" borderId="5" xfId="0" applyNumberFormat="1" applyBorder="1" applyAlignment="1">
      <alignment horizontal="center" vertical="center"/>
    </xf>
    <xf numFmtId="164" fontId="0" fillId="3" borderId="3" xfId="0" applyNumberFormat="1" applyFill="1" applyBorder="1" applyAlignment="1">
      <alignment horizontal="center" vertical="center"/>
    </xf>
    <xf numFmtId="2" fontId="0" fillId="3" borderId="0" xfId="0" applyNumberFormat="1" applyFill="1" applyAlignment="1">
      <alignment horizontal="center" vertical="center"/>
    </xf>
    <xf numFmtId="0" fontId="0" fillId="4" borderId="1" xfId="0" applyFill="1" applyBorder="1"/>
    <xf numFmtId="0" fontId="0" fillId="4" borderId="2" xfId="0" applyFill="1" applyBorder="1"/>
    <xf numFmtId="0" fontId="0" fillId="0" borderId="6" xfId="0" pivotButton="1" applyBorder="1"/>
    <xf numFmtId="0" fontId="0" fillId="0" borderId="7" xfId="0" applyBorder="1"/>
    <xf numFmtId="0" fontId="0" fillId="0" borderId="11" xfId="0" applyBorder="1"/>
    <xf numFmtId="0" fontId="0" fillId="0" borderId="13" xfId="0" applyBorder="1"/>
    <xf numFmtId="0" fontId="3" fillId="0" borderId="8" xfId="0" applyFont="1" applyBorder="1" applyAlignment="1">
      <alignment horizontal="left"/>
    </xf>
    <xf numFmtId="0" fontId="3" fillId="0" borderId="10" xfId="0" applyFont="1" applyBorder="1" applyAlignment="1">
      <alignment horizontal="left"/>
    </xf>
    <xf numFmtId="2" fontId="3" fillId="0" borderId="9" xfId="0" applyNumberFormat="1" applyFont="1" applyBorder="1"/>
    <xf numFmtId="2" fontId="3" fillId="0" borderId="14" xfId="0" applyNumberFormat="1" applyFont="1" applyBorder="1"/>
    <xf numFmtId="2" fontId="3" fillId="0" borderId="12" xfId="0" applyNumberFormat="1" applyFont="1" applyBorder="1"/>
    <xf numFmtId="2" fontId="3" fillId="0" borderId="15" xfId="0" applyNumberFormat="1" applyFont="1" applyBorder="1"/>
    <xf numFmtId="1" fontId="3" fillId="0" borderId="9" xfId="0" applyNumberFormat="1" applyFont="1" applyBorder="1"/>
    <xf numFmtId="1" fontId="3" fillId="0" borderId="12" xfId="0" applyNumberFormat="1" applyFont="1" applyBorder="1"/>
    <xf numFmtId="9" fontId="0" fillId="0" borderId="0" xfId="0" applyNumberFormat="1"/>
    <xf numFmtId="0" fontId="6" fillId="0" borderId="0" xfId="0" applyFont="1"/>
    <xf numFmtId="0" fontId="7" fillId="0" borderId="0" xfId="0" applyFont="1" applyAlignment="1">
      <alignment horizontal="left"/>
    </xf>
    <xf numFmtId="9" fontId="7" fillId="0" borderId="0" xfId="0" applyNumberFormat="1" applyFont="1"/>
    <xf numFmtId="0" fontId="7" fillId="0" borderId="0" xfId="0" applyFont="1"/>
    <xf numFmtId="0" fontId="0" fillId="0" borderId="0" xfId="0" applyAlignment="1">
      <alignment horizontal="center" vertical="center" wrapText="1"/>
    </xf>
    <xf numFmtId="0" fontId="0" fillId="0" borderId="0" xfId="0" pivotButton="1" applyAlignment="1">
      <alignment horizontal="center" vertical="center" wrapText="1"/>
    </xf>
    <xf numFmtId="0" fontId="0" fillId="0" borderId="0" xfId="0" pivotButton="1" applyAlignment="1">
      <alignment horizontal="left" vertical="top"/>
    </xf>
    <xf numFmtId="0" fontId="0" fillId="0" borderId="0" xfId="0" pivotButton="1" applyAlignment="1">
      <alignment wrapText="1"/>
    </xf>
    <xf numFmtId="0" fontId="5" fillId="5" borderId="16" xfId="0" applyFont="1" applyFill="1" applyBorder="1" applyAlignment="1">
      <alignment horizontal="center"/>
    </xf>
    <xf numFmtId="0" fontId="5" fillId="5" borderId="17" xfId="0" applyFont="1" applyFill="1" applyBorder="1" applyAlignment="1">
      <alignment horizontal="center"/>
    </xf>
    <xf numFmtId="0" fontId="5" fillId="5" borderId="18" xfId="0" applyFont="1" applyFill="1" applyBorder="1" applyAlignment="1">
      <alignment horizontal="center"/>
    </xf>
    <xf numFmtId="0" fontId="9" fillId="6" borderId="0" xfId="0" applyFont="1" applyFill="1" applyAlignment="1">
      <alignment horizontal="center"/>
    </xf>
    <xf numFmtId="0" fontId="8" fillId="7" borderId="0" xfId="0" applyFont="1" applyFill="1" applyAlignment="1">
      <alignment horizontal="center"/>
    </xf>
  </cellXfs>
  <cellStyles count="1">
    <cellStyle name="Normal" xfId="0" builtinId="0"/>
  </cellStyles>
  <dxfs count="54">
    <dxf>
      <fill>
        <patternFill patternType="solid">
          <fgColor indexed="64"/>
          <bgColor theme="5" tint="0.39997558519241921"/>
        </patternFill>
      </fill>
    </dxf>
    <dxf>
      <numFmt numFmtId="164" formatCode="0.00000E+00"/>
      <alignment horizontal="center" vertical="center" textRotation="0" wrapText="0" indent="0" justifyLastLine="0" shrinkToFit="0" readingOrder="0"/>
      <border diagonalUp="0" diagonalDown="0" outline="0">
        <left/>
        <right style="thin">
          <color indexed="64"/>
        </right>
        <top style="thin">
          <color indexed="64"/>
        </top>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Unicode MS"/>
        <scheme val="none"/>
      </font>
    </dxf>
    <dxf>
      <fill>
        <patternFill patternType="solid">
          <fgColor indexed="64"/>
          <bgColor theme="5" tint="0.39997558519241921"/>
        </patternFill>
      </fill>
      <alignment horizontal="center" vertical="center" textRotation="0" wrapText="0" indent="0" justifyLastLine="0" shrinkToFit="0" readingOrder="0"/>
    </dxf>
    <dxf>
      <numFmt numFmtId="2" formatCode="0.00"/>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numFmt numFmtId="1" formatCode="0"/>
    </dxf>
    <dxf>
      <numFmt numFmtId="2" formatCode="0.00"/>
    </dxf>
    <dxf>
      <font>
        <b/>
      </font>
    </dxf>
    <dxf>
      <font>
        <b/>
      </font>
    </dxf>
    <dxf>
      <border>
        <right style="thin">
          <color rgb="FFFFC000"/>
        </right>
      </border>
    </dxf>
    <dxf>
      <border>
        <right style="thin">
          <color rgb="FFFFC000"/>
        </right>
      </border>
    </dxf>
    <dxf>
      <border>
        <right style="thin">
          <color rgb="FFFFC000"/>
        </right>
      </border>
    </dxf>
    <dxf>
      <border>
        <right style="thin">
          <color rgb="FFFFC000"/>
        </right>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4472C4"/>
          <bgColor rgb="FF4472C4"/>
        </patternFill>
      </fill>
      <alignment horizontal="center" vertical="bottom" textRotation="0" wrapText="0" indent="0" justifyLastLine="0" shrinkToFit="0" readingOrder="0"/>
    </dxf>
    <dxf>
      <numFmt numFmtId="13" formatCode="0%"/>
    </dxf>
    <dxf>
      <alignment horizontal="center"/>
    </dxf>
    <dxf>
      <alignment vertical="center"/>
    </dxf>
    <dxf>
      <alignment horizontal="center"/>
    </dxf>
    <dxf>
      <alignment wrapText="1"/>
    </dxf>
    <dxf>
      <alignment vertical="center"/>
    </dxf>
    <dxf>
      <alignment wrapText="1"/>
    </dxf>
    <dxf>
      <numFmt numFmtId="2" formatCode="0.00"/>
    </dxf>
    <dxf>
      <alignment wrapText="1"/>
    </dxf>
    <dxf>
      <font>
        <sz val="11"/>
      </font>
    </dxf>
    <dxf>
      <alignment wrapText="0"/>
    </dxf>
    <dxf>
      <numFmt numFmtId="13" formatCode="0%"/>
    </dxf>
    <dxf>
      <alignment vertical="top"/>
    </dxf>
    <dxf>
      <alignment wrapText="0"/>
    </dxf>
    <dxf>
      <alignment horizontal="left"/>
    </dxf>
    <dxf>
      <alignment wrapText="0"/>
    </dxf>
    <dxf>
      <font>
        <sz val="11"/>
      </font>
    </dxf>
    <dxf>
      <alignment wrapText="1"/>
    </dxf>
    <dxf>
      <numFmt numFmtId="13" formatCode="0%"/>
    </dxf>
    <dxf>
      <numFmt numFmtId="13" formatCode="0%"/>
    </dxf>
    <dxf>
      <font>
        <sz val="11"/>
      </font>
    </dxf>
    <dxf>
      <font>
        <sz val="11"/>
      </font>
    </dxf>
    <dxf>
      <font>
        <sz val="11"/>
      </font>
    </dxf>
    <dxf>
      <font>
        <sz val="11"/>
      </font>
    </dxf>
    <dxf>
      <font>
        <sz val="11"/>
      </font>
    </dxf>
    <dxf>
      <font>
        <sz val="1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[Employee_Retention_Analysis.xlsx]Dashboard!PivotTable18</c:name>
    <c:fmtId val="20"/>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Dashboard!$B$38</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Dashboard!$A$39:$A$42</c:f>
              <c:strCache>
                <c:ptCount val="3"/>
                <c:pt idx="0">
                  <c:v>Medium (5-14h)</c:v>
                </c:pt>
                <c:pt idx="1">
                  <c:v>Low (&lt;5h)</c:v>
                </c:pt>
                <c:pt idx="2">
                  <c:v>High (15h+)</c:v>
                </c:pt>
              </c:strCache>
            </c:strRef>
          </c:cat>
          <c:val>
            <c:numRef>
              <c:f>Dashboard!$B$39:$B$42</c:f>
              <c:numCache>
                <c:formatCode>0%</c:formatCode>
                <c:ptCount val="3"/>
                <c:pt idx="0">
                  <c:v>0.23668639053254437</c:v>
                </c:pt>
                <c:pt idx="1">
                  <c:v>0.10638297872340426</c:v>
                </c:pt>
                <c:pt idx="2">
                  <c:v>0.51351351351351349</c:v>
                </c:pt>
              </c:numCache>
            </c:numRef>
          </c:val>
          <c:extLst>
            <c:ext xmlns:c16="http://schemas.microsoft.com/office/drawing/2014/chart" uri="{C3380CC4-5D6E-409C-BE32-E72D297353CC}">
              <c16:uniqueId val="{00000000-D24D-498D-8DC4-4829D7A0FD89}"/>
            </c:ext>
          </c:extLst>
        </c:ser>
        <c:dLbls>
          <c:showLegendKey val="0"/>
          <c:showVal val="0"/>
          <c:showCatName val="0"/>
          <c:showSerName val="0"/>
          <c:showPercent val="0"/>
          <c:showBubbleSize val="0"/>
        </c:dLbls>
        <c:gapWidth val="65"/>
        <c:axId val="1194325520"/>
        <c:axId val="1414211632"/>
      </c:barChart>
      <c:catAx>
        <c:axId val="119432552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dk1">
                    <a:lumMod val="75000"/>
                    <a:lumOff val="25000"/>
                  </a:schemeClr>
                </a:solidFill>
                <a:latin typeface="+mn-lt"/>
                <a:ea typeface="+mn-ea"/>
                <a:cs typeface="+mn-cs"/>
              </a:defRPr>
            </a:pPr>
            <a:endParaRPr lang="en-US"/>
          </a:p>
        </c:txPr>
        <c:crossAx val="1414211632"/>
        <c:crosses val="autoZero"/>
        <c:auto val="1"/>
        <c:lblAlgn val="ctr"/>
        <c:lblOffset val="100"/>
        <c:noMultiLvlLbl val="0"/>
      </c:catAx>
      <c:valAx>
        <c:axId val="1414211632"/>
        <c:scaling>
          <c:orientation val="minMax"/>
        </c:scaling>
        <c:delete val="1"/>
        <c:axPos val="l"/>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crossAx val="1194325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[Employee_Retention_Analysis.xlsx]Dashboard!PivotTable20</c:name>
    <c:fmtId val="1"/>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13786818314377369"/>
          <c:w val="0.82248140857392826"/>
          <c:h val="0.61557560513269172"/>
        </c:manualLayout>
      </c:layout>
      <c:barChart>
        <c:barDir val="col"/>
        <c:grouping val="clustered"/>
        <c:varyColors val="0"/>
        <c:ser>
          <c:idx val="0"/>
          <c:order val="0"/>
          <c:tx>
            <c:strRef>
              <c:f>Dashboard!$B$46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Dashboard!$A$47:$A$49</c:f>
              <c:strCache>
                <c:ptCount val="2"/>
                <c:pt idx="0">
                  <c:v>NO</c:v>
                </c:pt>
                <c:pt idx="1">
                  <c:v>YES</c:v>
                </c:pt>
              </c:strCache>
            </c:strRef>
          </c:cat>
          <c:val>
            <c:numRef>
              <c:f>Dashboard!$B$47:$B$49</c:f>
              <c:numCache>
                <c:formatCode>0.00</c:formatCode>
                <c:ptCount val="2"/>
                <c:pt idx="0">
                  <c:v>2.7910447761194028</c:v>
                </c:pt>
                <c:pt idx="1">
                  <c:v>3.3674698795180724</c:v>
                </c:pt>
              </c:numCache>
            </c:numRef>
          </c:val>
          <c:extLst>
            <c:ext xmlns:c16="http://schemas.microsoft.com/office/drawing/2014/chart" uri="{C3380CC4-5D6E-409C-BE32-E72D297353CC}">
              <c16:uniqueId val="{00000000-6C5A-4D8E-8144-9F1766D9A402}"/>
            </c:ext>
          </c:extLst>
        </c:ser>
        <c:dLbls>
          <c:dLblPos val="inEnd"/>
          <c:showLegendKey val="0"/>
          <c:showVal val="1"/>
          <c:showCatName val="0"/>
          <c:showSerName val="0"/>
          <c:showPercent val="0"/>
          <c:showBubbleSize val="0"/>
        </c:dLbls>
        <c:gapWidth val="41"/>
        <c:axId val="1434416608"/>
        <c:axId val="1414207792"/>
      </c:barChart>
      <c:catAx>
        <c:axId val="143441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14207792"/>
        <c:crosses val="autoZero"/>
        <c:auto val="1"/>
        <c:lblAlgn val="ctr"/>
        <c:lblOffset val="100"/>
        <c:noMultiLvlLbl val="0"/>
      </c:catAx>
      <c:valAx>
        <c:axId val="1414207792"/>
        <c:scaling>
          <c:orientation val="minMax"/>
        </c:scaling>
        <c:delete val="1"/>
        <c:axPos val="l"/>
        <c:numFmt formatCode="0.00" sourceLinked="1"/>
        <c:majorTickMark val="none"/>
        <c:minorTickMark val="none"/>
        <c:tickLblPos val="nextTo"/>
        <c:crossAx val="143441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[Employee_Retention_Analysis.xlsx]Dashboard!PivotTable21</c:name>
    <c:fmtId val="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Dashboard!$B$64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Dashboard!$A$65:$A$68</c:f>
              <c:strCache>
                <c:ptCount val="3"/>
                <c:pt idx="0">
                  <c:v>High</c:v>
                </c:pt>
                <c:pt idx="1">
                  <c:v>Low</c:v>
                </c:pt>
                <c:pt idx="2">
                  <c:v>Mid</c:v>
                </c:pt>
              </c:strCache>
            </c:strRef>
          </c:cat>
          <c:val>
            <c:numRef>
              <c:f>Dashboard!$B$65:$B$68</c:f>
              <c:numCache>
                <c:formatCode>0%</c:formatCode>
                <c:ptCount val="3"/>
                <c:pt idx="0">
                  <c:v>0.2251655629139073</c:v>
                </c:pt>
                <c:pt idx="1">
                  <c:v>0.2857142857142857</c:v>
                </c:pt>
                <c:pt idx="2">
                  <c:v>0.21</c:v>
                </c:pt>
              </c:numCache>
            </c:numRef>
          </c:val>
          <c:extLst>
            <c:ext xmlns:c16="http://schemas.microsoft.com/office/drawing/2014/chart" uri="{C3380CC4-5D6E-409C-BE32-E72D297353CC}">
              <c16:uniqueId val="{00000000-2A31-44ED-8F64-979A41D4325D}"/>
            </c:ext>
          </c:extLst>
        </c:ser>
        <c:dLbls>
          <c:dLblPos val="inEnd"/>
          <c:showLegendKey val="0"/>
          <c:showVal val="1"/>
          <c:showCatName val="0"/>
          <c:showSerName val="0"/>
          <c:showPercent val="0"/>
          <c:showBubbleSize val="0"/>
        </c:dLbls>
        <c:gapWidth val="65"/>
        <c:axId val="1331560640"/>
        <c:axId val="1414199632"/>
      </c:barChart>
      <c:catAx>
        <c:axId val="1331560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4199632"/>
        <c:crosses val="autoZero"/>
        <c:auto val="1"/>
        <c:lblAlgn val="ctr"/>
        <c:lblOffset val="100"/>
        <c:noMultiLvlLbl val="0"/>
      </c:catAx>
      <c:valAx>
        <c:axId val="14141996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3315606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[Employee_Retention_Analysis.xlsx]Dashboard!PivotTable24</c:name>
    <c:fmtId val="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Dashboard!$A$6:$A$12</c:f>
              <c:strCache>
                <c:ptCount val="6"/>
                <c:pt idx="0">
                  <c:v>Customer Support</c:v>
                </c:pt>
                <c:pt idx="1">
                  <c:v>Engineering</c:v>
                </c:pt>
                <c:pt idx="2">
                  <c:v>Finance</c:v>
                </c:pt>
                <c:pt idx="3">
                  <c:v>Human Resources</c:v>
                </c:pt>
                <c:pt idx="4">
                  <c:v>Marketing</c:v>
                </c:pt>
                <c:pt idx="5">
                  <c:v>Sales</c:v>
                </c:pt>
              </c:strCache>
            </c:strRef>
          </c:cat>
          <c:val>
            <c:numRef>
              <c:f>Dashboard!$B$6:$B$12</c:f>
              <c:numCache>
                <c:formatCode>0%</c:formatCode>
                <c:ptCount val="6"/>
                <c:pt idx="0">
                  <c:v>0.23809523809523808</c:v>
                </c:pt>
                <c:pt idx="1">
                  <c:v>0.1111111111111111</c:v>
                </c:pt>
                <c:pt idx="2">
                  <c:v>0.19540229885057472</c:v>
                </c:pt>
                <c:pt idx="3">
                  <c:v>0.13636363636363635</c:v>
                </c:pt>
                <c:pt idx="4">
                  <c:v>0.2857142857142857</c:v>
                </c:pt>
                <c:pt idx="5">
                  <c:v>0.40816326530612246</c:v>
                </c:pt>
              </c:numCache>
            </c:numRef>
          </c:val>
          <c:extLst>
            <c:ext xmlns:c16="http://schemas.microsoft.com/office/drawing/2014/chart" uri="{C3380CC4-5D6E-409C-BE32-E72D297353CC}">
              <c16:uniqueId val="{00000000-71C8-4977-A3B9-1D865B10C155}"/>
            </c:ext>
          </c:extLst>
        </c:ser>
        <c:dLbls>
          <c:dLblPos val="inEnd"/>
          <c:showLegendKey val="0"/>
          <c:showVal val="1"/>
          <c:showCatName val="0"/>
          <c:showSerName val="0"/>
          <c:showPercent val="0"/>
          <c:showBubbleSize val="0"/>
        </c:dLbls>
        <c:gapWidth val="65"/>
        <c:axId val="1434444912"/>
        <c:axId val="1414195792"/>
      </c:barChart>
      <c:catAx>
        <c:axId val="1434444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4195792"/>
        <c:crosses val="autoZero"/>
        <c:auto val="1"/>
        <c:lblAlgn val="ctr"/>
        <c:lblOffset val="100"/>
        <c:noMultiLvlLbl val="0"/>
      </c:catAx>
      <c:valAx>
        <c:axId val="1414195792"/>
        <c:scaling>
          <c:orientation val="minMax"/>
        </c:scaling>
        <c:delete val="1"/>
        <c:axPos val="l"/>
        <c:numFmt formatCode="0%" sourceLinked="1"/>
        <c:majorTickMark val="none"/>
        <c:minorTickMark val="none"/>
        <c:tickLblPos val="nextTo"/>
        <c:crossAx val="14344449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449971</xdr:colOff>
      <xdr:row>4</xdr:row>
      <xdr:rowOff>7620</xdr:rowOff>
    </xdr:from>
    <xdr:to>
      <xdr:col>12</xdr:col>
      <xdr:colOff>1147199</xdr:colOff>
      <xdr:row>17</xdr:row>
      <xdr:rowOff>106314</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B07F1E4A-56AE-0D4B-D93E-0491DE103C5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83831" y="853440"/>
              <a:ext cx="1824988" cy="2476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254977</xdr:colOff>
      <xdr:row>4</xdr:row>
      <xdr:rowOff>17390</xdr:rowOff>
    </xdr:from>
    <xdr:to>
      <xdr:col>11</xdr:col>
      <xdr:colOff>247357</xdr:colOff>
      <xdr:row>11</xdr:row>
      <xdr:rowOff>108829</xdr:rowOff>
    </xdr:to>
    <mc:AlternateContent xmlns:mc="http://schemas.openxmlformats.org/markup-compatibility/2006" xmlns:a14="http://schemas.microsoft.com/office/drawing/2010/main">
      <mc:Choice Requires="a14">
        <xdr:graphicFrame macro="">
          <xdr:nvGraphicFramePr>
            <xdr:cNvPr id="3" name="TrainingCompleted">
              <a:extLst>
                <a:ext uri="{FF2B5EF4-FFF2-40B4-BE49-F238E27FC236}">
                  <a16:creationId xmlns:a16="http://schemas.microsoft.com/office/drawing/2014/main" id="{9DBFCCC2-62B5-2E47-0C80-AE679DEF67BD}"/>
                </a:ext>
              </a:extLst>
            </xdr:cNvPr>
            <xdr:cNvGraphicFramePr/>
          </xdr:nvGraphicFramePr>
          <xdr:xfrm>
            <a:off x="0" y="0"/>
            <a:ext cx="0" cy="0"/>
          </xdr:xfrm>
          <a:graphic>
            <a:graphicData uri="http://schemas.microsoft.com/office/drawing/2010/slicer">
              <sle:slicer xmlns:sle="http://schemas.microsoft.com/office/drawing/2010/slicer" name="TrainingCompleted"/>
            </a:graphicData>
          </a:graphic>
        </xdr:graphicFrame>
      </mc:Choice>
      <mc:Fallback xmlns="">
        <xdr:sp macro="" textlink="">
          <xdr:nvSpPr>
            <xdr:cNvPr id="0" name=""/>
            <xdr:cNvSpPr>
              <a:spLocks noTextEdit="1"/>
            </xdr:cNvSpPr>
          </xdr:nvSpPr>
          <xdr:spPr>
            <a:xfrm>
              <a:off x="10260037" y="863210"/>
              <a:ext cx="182118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830580</xdr:colOff>
      <xdr:row>23</xdr:row>
      <xdr:rowOff>179070</xdr:rowOff>
    </xdr:from>
    <xdr:to>
      <xdr:col>7</xdr:col>
      <xdr:colOff>1143000</xdr:colOff>
      <xdr:row>39</xdr:row>
      <xdr:rowOff>214924</xdr:rowOff>
    </xdr:to>
    <xdr:graphicFrame macro="">
      <xdr:nvGraphicFramePr>
        <xdr:cNvPr id="12" name="Chart 11">
          <a:extLst>
            <a:ext uri="{FF2B5EF4-FFF2-40B4-BE49-F238E27FC236}">
              <a16:creationId xmlns:a16="http://schemas.microsoft.com/office/drawing/2014/main" id="{18430AA5-D6C7-A43F-B887-5DDB71676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853440</xdr:colOff>
      <xdr:row>45</xdr:row>
      <xdr:rowOff>11430</xdr:rowOff>
    </xdr:from>
    <xdr:to>
      <xdr:col>7</xdr:col>
      <xdr:colOff>792480</xdr:colOff>
      <xdr:row>59</xdr:row>
      <xdr:rowOff>152400</xdr:rowOff>
    </xdr:to>
    <xdr:graphicFrame macro="">
      <xdr:nvGraphicFramePr>
        <xdr:cNvPr id="14" name="Chart 13">
          <a:extLst>
            <a:ext uri="{FF2B5EF4-FFF2-40B4-BE49-F238E27FC236}">
              <a16:creationId xmlns:a16="http://schemas.microsoft.com/office/drawing/2014/main" id="{3A4C24DA-C258-DB63-DC02-A6EBBC7CA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901310</xdr:colOff>
      <xdr:row>63</xdr:row>
      <xdr:rowOff>13579</xdr:rowOff>
    </xdr:from>
    <xdr:to>
      <xdr:col>7</xdr:col>
      <xdr:colOff>840154</xdr:colOff>
      <xdr:row>81</xdr:row>
      <xdr:rowOff>124069</xdr:rowOff>
    </xdr:to>
    <xdr:graphicFrame macro="">
      <xdr:nvGraphicFramePr>
        <xdr:cNvPr id="15" name="Chart 14">
          <a:extLst>
            <a:ext uri="{FF2B5EF4-FFF2-40B4-BE49-F238E27FC236}">
              <a16:creationId xmlns:a16="http://schemas.microsoft.com/office/drawing/2014/main" id="{42C50811-7645-8841-E00C-710DB81DC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960120</xdr:colOff>
      <xdr:row>4</xdr:row>
      <xdr:rowOff>87630</xdr:rowOff>
    </xdr:from>
    <xdr:to>
      <xdr:col>8</xdr:col>
      <xdr:colOff>0</xdr:colOff>
      <xdr:row>19</xdr:row>
      <xdr:rowOff>87630</xdr:rowOff>
    </xdr:to>
    <xdr:graphicFrame macro="">
      <xdr:nvGraphicFramePr>
        <xdr:cNvPr id="16" name="Chart 15">
          <a:extLst>
            <a:ext uri="{FF2B5EF4-FFF2-40B4-BE49-F238E27FC236}">
              <a16:creationId xmlns:a16="http://schemas.microsoft.com/office/drawing/2014/main" id="{4C47CA38-928F-B7CD-FC8D-F2D3D989D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6.076720833335" createdVersion="8" refreshedVersion="8" minRefreshableVersion="3" recordCount="300" xr:uid="{626E528A-7E44-4DA8-9AB6-6B9FB3E6B378}">
  <cacheSource type="worksheet">
    <worksheetSource ref="A1:N301" sheet="Clean_Employee_Data"/>
  </cacheSource>
  <cacheFields count="14">
    <cacheField name="EmployeeID" numFmtId="0">
      <sharedItems containsSemiMixedTypes="0" containsString="0" containsNumber="1" containsInteger="1" minValue="1001" maxValue="1300"/>
    </cacheField>
    <cacheField name="FullName" numFmtId="0">
      <sharedItems/>
    </cacheField>
    <cacheField name="Department" numFmtId="0">
      <sharedItems count="6">
        <s v="Finance"/>
        <s v="Sales"/>
        <s v="Customer Support"/>
        <s v="Engineering"/>
        <s v="Human Resources"/>
        <s v="Marketing"/>
      </sharedItems>
    </cacheField>
    <cacheField name="DeptCode" numFmtId="0">
      <sharedItems/>
    </cacheField>
    <cacheField name="JobRole" numFmtId="0">
      <sharedItems/>
    </cacheField>
    <cacheField name="MonthlyIncome" numFmtId="0">
      <sharedItems containsSemiMixedTypes="0" containsString="0" containsNumber="1" containsInteger="1" minValue="2815" maxValue="14427" count="296">
        <n v="11113"/>
        <n v="3776"/>
        <n v="12188"/>
        <n v="9319"/>
        <n v="8020"/>
        <n v="11591"/>
        <n v="11452"/>
        <n v="12714"/>
        <n v="9285"/>
        <n v="11011"/>
        <n v="11917"/>
        <n v="6119"/>
        <n v="11247"/>
        <n v="5247"/>
        <n v="5445"/>
        <n v="6561"/>
        <n v="5381"/>
        <n v="13573"/>
        <n v="4194"/>
        <n v="6162"/>
        <n v="10413"/>
        <n v="10764"/>
        <n v="3590"/>
        <n v="5597"/>
        <n v="6717"/>
        <n v="3328"/>
        <n v="7777"/>
        <n v="13403"/>
        <n v="10747"/>
        <n v="9003"/>
        <n v="13046"/>
        <n v="9844"/>
        <n v="8137"/>
        <n v="5312"/>
        <n v="11199"/>
        <n v="4461"/>
        <n v="4282"/>
        <n v="13226"/>
        <n v="9187"/>
        <n v="3466"/>
        <n v="8105"/>
        <n v="9259"/>
        <n v="3582"/>
        <n v="7129"/>
        <n v="5661"/>
        <n v="7643"/>
        <n v="12144"/>
        <n v="4554"/>
        <n v="3311"/>
        <n v="7069"/>
        <n v="11728"/>
        <n v="5355"/>
        <n v="9952"/>
        <n v="9355"/>
        <n v="11664"/>
        <n v="11435"/>
        <n v="14337"/>
        <n v="7600"/>
        <n v="13797"/>
        <n v="3136"/>
        <n v="10889"/>
        <n v="12822"/>
        <n v="12078"/>
        <n v="4788"/>
        <n v="9172"/>
        <n v="12725"/>
        <n v="14017"/>
        <n v="11093"/>
        <n v="12412"/>
        <n v="13296"/>
        <n v="12463"/>
        <n v="10211"/>
        <n v="13138"/>
        <n v="8699"/>
        <n v="11294"/>
        <n v="9048"/>
        <n v="4485"/>
        <n v="9365"/>
        <n v="3566"/>
        <n v="4184"/>
        <n v="11195"/>
        <n v="8321"/>
        <n v="12750"/>
        <n v="3219"/>
        <n v="10774"/>
        <n v="12056"/>
        <n v="5154"/>
        <n v="12346"/>
        <n v="5642"/>
        <n v="11892"/>
        <n v="11205"/>
        <n v="9336"/>
        <n v="9429"/>
        <n v="8463"/>
        <n v="14313"/>
        <n v="4732"/>
        <n v="10478"/>
        <n v="4080"/>
        <n v="3628"/>
        <n v="9987"/>
        <n v="12057"/>
        <n v="4355"/>
        <n v="5605"/>
        <n v="4810"/>
        <n v="13770"/>
        <n v="7899"/>
        <n v="10992"/>
        <n v="8279"/>
        <n v="4111"/>
        <n v="3596"/>
        <n v="7010"/>
        <n v="7866"/>
        <n v="5246"/>
        <n v="13074"/>
        <n v="12798"/>
        <n v="13986"/>
        <n v="5732"/>
        <n v="7422"/>
        <n v="12971"/>
        <n v="11697"/>
        <n v="9046"/>
        <n v="3091"/>
        <n v="13419"/>
        <n v="3866"/>
        <n v="14121"/>
        <n v="3653"/>
        <n v="6085"/>
        <n v="11556"/>
        <n v="7871"/>
        <n v="7686"/>
        <n v="5241"/>
        <n v="14087"/>
        <n v="12497"/>
        <n v="6061"/>
        <n v="6602"/>
        <n v="3067"/>
        <n v="6473"/>
        <n v="4453"/>
        <n v="8979"/>
        <n v="4181"/>
        <n v="7869"/>
        <n v="9216"/>
        <n v="9263"/>
        <n v="4970"/>
        <n v="13875"/>
        <n v="6573"/>
        <n v="4991"/>
        <n v="8598"/>
        <n v="4902"/>
        <n v="3508"/>
        <n v="13824"/>
        <n v="2815"/>
        <n v="3286"/>
        <n v="11314"/>
        <n v="12212"/>
        <n v="13008"/>
        <n v="4796"/>
        <n v="8399"/>
        <n v="10089"/>
        <n v="6960"/>
        <n v="10529"/>
        <n v="6443"/>
        <n v="7015"/>
        <n v="7472"/>
        <n v="9467"/>
        <n v="4114"/>
        <n v="6793"/>
        <n v="8371"/>
        <n v="12341"/>
        <n v="13709"/>
        <n v="7035"/>
        <n v="3875"/>
        <n v="12871"/>
        <n v="3295"/>
        <n v="13233"/>
        <n v="6726"/>
        <n v="10487"/>
        <n v="8581"/>
        <n v="5078"/>
        <n v="13286"/>
        <n v="12112"/>
        <n v="5860"/>
        <n v="11168"/>
        <n v="5674"/>
        <n v="6058"/>
        <n v="9082"/>
        <n v="13896"/>
        <n v="3074"/>
        <n v="3453"/>
        <n v="9204"/>
        <n v="5134"/>
        <n v="12300"/>
        <n v="8967"/>
        <n v="9374"/>
        <n v="5836"/>
        <n v="6277"/>
        <n v="9021"/>
        <n v="7601"/>
        <n v="3014"/>
        <n v="8767"/>
        <n v="9724"/>
        <n v="9740"/>
        <n v="9065"/>
        <n v="5594"/>
        <n v="13352"/>
        <n v="11713"/>
        <n v="11397"/>
        <n v="3401"/>
        <n v="13934"/>
        <n v="8238"/>
        <n v="5418"/>
        <n v="9149"/>
        <n v="7033"/>
        <n v="4995"/>
        <n v="7183"/>
        <n v="10012"/>
        <n v="3547"/>
        <n v="7321"/>
        <n v="9549"/>
        <n v="13128"/>
        <n v="5788"/>
        <n v="12382"/>
        <n v="9911"/>
        <n v="11013"/>
        <n v="5300"/>
        <n v="4135"/>
        <n v="7541"/>
        <n v="5010"/>
        <n v="9206"/>
        <n v="10323"/>
        <n v="3007"/>
        <n v="11643"/>
        <n v="8005"/>
        <n v="5065"/>
        <n v="9083"/>
        <n v="9007"/>
        <n v="14427"/>
        <n v="11448"/>
        <n v="2816"/>
        <n v="3309"/>
        <n v="4489"/>
        <n v="12828"/>
        <n v="14038"/>
        <n v="6191"/>
        <n v="9403"/>
        <n v="3011"/>
        <n v="11816"/>
        <n v="5204"/>
        <n v="13402"/>
        <n v="14100"/>
        <n v="5234"/>
        <n v="13323"/>
        <n v="11459"/>
        <n v="4949"/>
        <n v="11179"/>
        <n v="6223"/>
        <n v="6734"/>
        <n v="3755"/>
        <n v="14202"/>
        <n v="10138"/>
        <n v="13361"/>
        <n v="7663"/>
        <n v="9314"/>
        <n v="5742"/>
        <n v="8029"/>
        <n v="11618"/>
        <n v="12478"/>
        <n v="6681"/>
        <n v="13467"/>
        <n v="9657"/>
        <n v="12335"/>
        <n v="14206"/>
        <n v="10162"/>
        <n v="4313"/>
        <n v="9924"/>
        <n v="11808"/>
        <n v="2824"/>
        <n v="11387"/>
        <n v="11389"/>
        <n v="5686"/>
        <n v="4058"/>
        <n v="10693"/>
        <n v="8112"/>
        <n v="3064"/>
        <n v="13289"/>
        <n v="11477"/>
        <n v="14378"/>
        <n v="11485"/>
        <n v="8278"/>
        <n v="4446"/>
        <n v="12542"/>
        <n v="6348"/>
        <n v="9167"/>
        <n v="10811"/>
        <n v="11107"/>
        <n v="11116"/>
      </sharedItems>
    </cacheField>
    <cacheField name="OvertimeHours" numFmtId="0">
      <sharedItems containsSemiMixedTypes="0" containsString="0" containsNumber="1" containsInteger="1" minValue="0" maxValue="20" count="21">
        <n v="8"/>
        <n v="10"/>
        <n v="0"/>
        <n v="16"/>
        <n v="5"/>
        <n v="11"/>
        <n v="2"/>
        <n v="7"/>
        <n v="9"/>
        <n v="6"/>
        <n v="12"/>
        <n v="13"/>
        <n v="3"/>
        <n v="14"/>
        <n v="1"/>
        <n v="15"/>
        <n v="4"/>
        <n v="17"/>
        <n v="19"/>
        <n v="18"/>
        <n v="20"/>
      </sharedItems>
    </cacheField>
    <cacheField name="SatisfactionScore" numFmtId="0">
      <sharedItems containsSemiMixedTypes="0" containsString="0" containsNumber="1" containsInteger="1" minValue="1" maxValue="4" count="4">
        <n v="3"/>
        <n v="2"/>
        <n v="1"/>
        <n v="4"/>
      </sharedItems>
    </cacheField>
    <cacheField name="PerformanceRating" numFmtId="0">
      <sharedItems containsSemiMixedTypes="0" containsString="0" containsNumber="1" containsInteger="1" minValue="1" maxValue="4" count="4">
        <n v="3"/>
        <n v="4"/>
        <n v="1"/>
        <n v="2"/>
      </sharedItems>
    </cacheField>
    <cacheField name="TrainingCompleted" numFmtId="0">
      <sharedItems count="2">
        <s v="YES"/>
        <s v="NO"/>
      </sharedItems>
    </cacheField>
    <cacheField name="Attrition" numFmtId="0">
      <sharedItems/>
    </cacheField>
    <cacheField name="AttritionFlag" numFmtId="0">
      <sharedItems containsSemiMixedTypes="0" containsString="0" containsNumber="1" containsInteger="1" minValue="0" maxValue="1"/>
    </cacheField>
    <cacheField name="IncomeBracket" numFmtId="0">
      <sharedItems count="3">
        <s v="High"/>
        <s v="Low"/>
        <s v="Mid"/>
      </sharedItems>
    </cacheField>
    <cacheField name="OvertimeBucket" numFmtId="0">
      <sharedItems count="3">
        <s v="Medium (5-14h)"/>
        <s v="Low (&lt;5h)"/>
        <s v="High (15h+)"/>
      </sharedItems>
    </cacheField>
  </cacheFields>
  <extLst>
    <ext xmlns:x14="http://schemas.microsoft.com/office/spreadsheetml/2009/9/main" uri="{725AE2AE-9491-48be-B2B4-4EB974FC3084}">
      <x14:pivotCacheDefinition pivotCacheId="648306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Dorothy Martinez"/>
    <x v="0"/>
    <s v="D05"/>
    <s v="Financial Analyst"/>
    <x v="0"/>
    <x v="0"/>
    <x v="0"/>
    <x v="0"/>
    <x v="0"/>
    <s v="NO"/>
    <n v="0"/>
    <x v="0"/>
    <x v="0"/>
  </r>
  <r>
    <n v="1002"/>
    <s v="Lisa Miller"/>
    <x v="1"/>
    <s v="D01"/>
    <s v="Account Manager"/>
    <x v="1"/>
    <x v="1"/>
    <x v="1"/>
    <x v="1"/>
    <x v="0"/>
    <s v="YES"/>
    <n v="1"/>
    <x v="1"/>
    <x v="0"/>
  </r>
  <r>
    <n v="1003"/>
    <s v="Nancy Carter"/>
    <x v="1"/>
    <s v="D01"/>
    <s v="Account Manager"/>
    <x v="2"/>
    <x v="1"/>
    <x v="1"/>
    <x v="1"/>
    <x v="0"/>
    <s v="YES"/>
    <n v="1"/>
    <x v="0"/>
    <x v="0"/>
  </r>
  <r>
    <n v="1004"/>
    <s v="Amanda Hernandez"/>
    <x v="2"/>
    <s v="D06"/>
    <s v="Support Executive"/>
    <x v="3"/>
    <x v="2"/>
    <x v="0"/>
    <x v="2"/>
    <x v="1"/>
    <s v="NO"/>
    <n v="0"/>
    <x v="0"/>
    <x v="1"/>
  </r>
  <r>
    <n v="1005"/>
    <s v="Gary Nguyen"/>
    <x v="0"/>
    <s v="D05"/>
    <s v="Finance Manager"/>
    <x v="4"/>
    <x v="3"/>
    <x v="2"/>
    <x v="0"/>
    <x v="1"/>
    <s v="NO"/>
    <n v="0"/>
    <x v="2"/>
    <x v="2"/>
  </r>
  <r>
    <n v="1006"/>
    <s v="William Wilson"/>
    <x v="0"/>
    <s v="D05"/>
    <s v="Financial Analyst"/>
    <x v="5"/>
    <x v="4"/>
    <x v="2"/>
    <x v="2"/>
    <x v="0"/>
    <s v="NO"/>
    <n v="0"/>
    <x v="0"/>
    <x v="0"/>
  </r>
  <r>
    <n v="1007"/>
    <s v="Christopher King"/>
    <x v="0"/>
    <s v="D05"/>
    <s v="Financial Analyst"/>
    <x v="6"/>
    <x v="4"/>
    <x v="2"/>
    <x v="0"/>
    <x v="1"/>
    <s v="NO"/>
    <n v="0"/>
    <x v="0"/>
    <x v="0"/>
  </r>
  <r>
    <n v="1008"/>
    <s v="Amy Thompson"/>
    <x v="3"/>
    <s v="D02"/>
    <s v="QA Engineer"/>
    <x v="7"/>
    <x v="3"/>
    <x v="1"/>
    <x v="1"/>
    <x v="0"/>
    <s v="YES"/>
    <n v="1"/>
    <x v="0"/>
    <x v="2"/>
  </r>
  <r>
    <n v="1009"/>
    <s v="Deborah Rivera"/>
    <x v="4"/>
    <s v="D03"/>
    <s v="HR Executive"/>
    <x v="8"/>
    <x v="2"/>
    <x v="2"/>
    <x v="1"/>
    <x v="0"/>
    <s v="NO"/>
    <n v="0"/>
    <x v="0"/>
    <x v="1"/>
  </r>
  <r>
    <n v="1010"/>
    <s v="Sarah Ramirez"/>
    <x v="3"/>
    <s v="D02"/>
    <s v="Senior Engineer"/>
    <x v="9"/>
    <x v="1"/>
    <x v="2"/>
    <x v="3"/>
    <x v="1"/>
    <s v="NO"/>
    <n v="0"/>
    <x v="0"/>
    <x v="0"/>
  </r>
  <r>
    <n v="1011"/>
    <s v="Lisa Hill"/>
    <x v="2"/>
    <s v="D06"/>
    <s v="Support Executive"/>
    <x v="10"/>
    <x v="3"/>
    <x v="2"/>
    <x v="1"/>
    <x v="0"/>
    <s v="YES"/>
    <n v="1"/>
    <x v="0"/>
    <x v="2"/>
  </r>
  <r>
    <n v="1012"/>
    <s v="Kathleen Allen"/>
    <x v="4"/>
    <s v="D03"/>
    <s v="Recruiter"/>
    <x v="11"/>
    <x v="5"/>
    <x v="0"/>
    <x v="3"/>
    <x v="0"/>
    <s v="NO"/>
    <n v="0"/>
    <x v="2"/>
    <x v="0"/>
  </r>
  <r>
    <n v="1013"/>
    <s v="Richard Sanchez"/>
    <x v="2"/>
    <s v="D06"/>
    <s v="Support Team Lead"/>
    <x v="12"/>
    <x v="6"/>
    <x v="0"/>
    <x v="0"/>
    <x v="0"/>
    <s v="NO"/>
    <n v="0"/>
    <x v="0"/>
    <x v="1"/>
  </r>
  <r>
    <n v="1014"/>
    <s v="Paul Carter"/>
    <x v="4"/>
    <s v="D03"/>
    <s v="HR Manager"/>
    <x v="13"/>
    <x v="5"/>
    <x v="1"/>
    <x v="1"/>
    <x v="0"/>
    <s v="YES"/>
    <n v="1"/>
    <x v="2"/>
    <x v="0"/>
  </r>
  <r>
    <n v="1015"/>
    <s v="Stephen Clark"/>
    <x v="3"/>
    <s v="D02"/>
    <s v="Software Engineer"/>
    <x v="14"/>
    <x v="7"/>
    <x v="3"/>
    <x v="0"/>
    <x v="1"/>
    <s v="NO"/>
    <n v="0"/>
    <x v="2"/>
    <x v="0"/>
  </r>
  <r>
    <n v="1016"/>
    <s v="Sharon Nelson"/>
    <x v="0"/>
    <s v="D06"/>
    <s v="Support Executive"/>
    <x v="15"/>
    <x v="5"/>
    <x v="1"/>
    <x v="0"/>
    <x v="1"/>
    <s v="YES"/>
    <n v="1"/>
    <x v="2"/>
    <x v="0"/>
  </r>
  <r>
    <n v="1017"/>
    <s v="Timothy Allen"/>
    <x v="5"/>
    <s v="D04"/>
    <s v="Marketing Executive"/>
    <x v="16"/>
    <x v="7"/>
    <x v="0"/>
    <x v="1"/>
    <x v="0"/>
    <s v="YES"/>
    <n v="1"/>
    <x v="2"/>
    <x v="0"/>
  </r>
  <r>
    <n v="1018"/>
    <s v="Jennifer Sanchez"/>
    <x v="0"/>
    <s v="D05"/>
    <s v="Financial Analyst"/>
    <x v="17"/>
    <x v="0"/>
    <x v="3"/>
    <x v="0"/>
    <x v="1"/>
    <s v="NO"/>
    <n v="0"/>
    <x v="0"/>
    <x v="0"/>
  </r>
  <r>
    <n v="1019"/>
    <s v="Larry Johnson"/>
    <x v="0"/>
    <s v="D06"/>
    <s v="Support Executive"/>
    <x v="18"/>
    <x v="5"/>
    <x v="1"/>
    <x v="1"/>
    <x v="0"/>
    <s v="YES"/>
    <n v="1"/>
    <x v="1"/>
    <x v="0"/>
  </r>
  <r>
    <n v="1020"/>
    <s v="Angela Jones"/>
    <x v="3"/>
    <s v="D02"/>
    <s v="QA Engineer"/>
    <x v="19"/>
    <x v="0"/>
    <x v="1"/>
    <x v="0"/>
    <x v="1"/>
    <s v="YES"/>
    <n v="1"/>
    <x v="2"/>
    <x v="0"/>
  </r>
  <r>
    <n v="1021"/>
    <s v="Gary Moore"/>
    <x v="2"/>
    <s v="D06"/>
    <s v="Support Team Lead"/>
    <x v="20"/>
    <x v="2"/>
    <x v="3"/>
    <x v="3"/>
    <x v="0"/>
    <s v="NO"/>
    <n v="0"/>
    <x v="0"/>
    <x v="1"/>
  </r>
  <r>
    <n v="1022"/>
    <s v="Thomas Hill"/>
    <x v="3"/>
    <s v="D02"/>
    <s v="Senior Engineer"/>
    <x v="21"/>
    <x v="1"/>
    <x v="1"/>
    <x v="1"/>
    <x v="0"/>
    <s v="NO"/>
    <n v="0"/>
    <x v="0"/>
    <x v="0"/>
  </r>
  <r>
    <n v="1023"/>
    <s v="Melissa Jones"/>
    <x v="5"/>
    <s v="D04"/>
    <s v="Content Strategist"/>
    <x v="22"/>
    <x v="7"/>
    <x v="0"/>
    <x v="3"/>
    <x v="1"/>
    <s v="NO"/>
    <n v="0"/>
    <x v="1"/>
    <x v="0"/>
  </r>
  <r>
    <n v="1024"/>
    <s v="Edward Lewis"/>
    <x v="0"/>
    <s v="D05"/>
    <s v="Financial Analyst"/>
    <x v="23"/>
    <x v="8"/>
    <x v="0"/>
    <x v="0"/>
    <x v="0"/>
    <s v="NO"/>
    <n v="0"/>
    <x v="2"/>
    <x v="0"/>
  </r>
  <r>
    <n v="1025"/>
    <s v="Laura Ramirez"/>
    <x v="1"/>
    <s v="D01"/>
    <s v="Sales Manager"/>
    <x v="24"/>
    <x v="2"/>
    <x v="1"/>
    <x v="1"/>
    <x v="0"/>
    <s v="YES"/>
    <n v="1"/>
    <x v="2"/>
    <x v="1"/>
  </r>
  <r>
    <n v="1026"/>
    <s v="Stephanie Adams"/>
    <x v="1"/>
    <s v="D01"/>
    <s v="Sales Executive"/>
    <x v="25"/>
    <x v="3"/>
    <x v="2"/>
    <x v="1"/>
    <x v="1"/>
    <s v="NO"/>
    <n v="0"/>
    <x v="1"/>
    <x v="2"/>
  </r>
  <r>
    <n v="1027"/>
    <s v="Ryan Garcia"/>
    <x v="1"/>
    <s v="D01"/>
    <s v="Account Manager"/>
    <x v="26"/>
    <x v="3"/>
    <x v="2"/>
    <x v="1"/>
    <x v="0"/>
    <s v="YES"/>
    <n v="1"/>
    <x v="2"/>
    <x v="2"/>
  </r>
  <r>
    <n v="1028"/>
    <s v="Ashley Johnson"/>
    <x v="5"/>
    <s v="D04"/>
    <s v="Brand Manager"/>
    <x v="27"/>
    <x v="9"/>
    <x v="0"/>
    <x v="1"/>
    <x v="0"/>
    <s v="NO"/>
    <n v="0"/>
    <x v="0"/>
    <x v="0"/>
  </r>
  <r>
    <n v="1029"/>
    <s v="Mark Taylor"/>
    <x v="0"/>
    <s v="D02"/>
    <s v="Software Engineer"/>
    <x v="28"/>
    <x v="2"/>
    <x v="3"/>
    <x v="0"/>
    <x v="0"/>
    <s v="NO"/>
    <n v="0"/>
    <x v="0"/>
    <x v="1"/>
  </r>
  <r>
    <n v="1030"/>
    <s v="Nancy Perez"/>
    <x v="4"/>
    <s v="D03"/>
    <s v="Recruiter"/>
    <x v="29"/>
    <x v="10"/>
    <x v="0"/>
    <x v="0"/>
    <x v="1"/>
    <s v="NO"/>
    <n v="0"/>
    <x v="0"/>
    <x v="0"/>
  </r>
  <r>
    <n v="1031"/>
    <s v="Helen Lewis"/>
    <x v="5"/>
    <s v="D04"/>
    <s v="Marketing Executive"/>
    <x v="30"/>
    <x v="0"/>
    <x v="2"/>
    <x v="1"/>
    <x v="0"/>
    <s v="NO"/>
    <n v="0"/>
    <x v="0"/>
    <x v="0"/>
  </r>
  <r>
    <n v="1032"/>
    <s v="William Johnson"/>
    <x v="0"/>
    <s v="D04"/>
    <s v="Content Strategist"/>
    <x v="31"/>
    <x v="9"/>
    <x v="3"/>
    <x v="0"/>
    <x v="0"/>
    <s v="NO"/>
    <n v="0"/>
    <x v="0"/>
    <x v="0"/>
  </r>
  <r>
    <n v="1033"/>
    <s v="Betty Sanchez"/>
    <x v="0"/>
    <s v="D05"/>
    <s v="Finance Manager"/>
    <x v="32"/>
    <x v="5"/>
    <x v="2"/>
    <x v="0"/>
    <x v="0"/>
    <s v="YES"/>
    <n v="1"/>
    <x v="2"/>
    <x v="0"/>
  </r>
  <r>
    <n v="1034"/>
    <s v="Larry Moore"/>
    <x v="3"/>
    <s v="D02"/>
    <s v="Software Engineer"/>
    <x v="33"/>
    <x v="11"/>
    <x v="2"/>
    <x v="3"/>
    <x v="1"/>
    <s v="NO"/>
    <n v="0"/>
    <x v="2"/>
    <x v="0"/>
  </r>
  <r>
    <n v="1035"/>
    <s v="Sandra Davis"/>
    <x v="1"/>
    <s v="D01"/>
    <s v="Sales Manager"/>
    <x v="34"/>
    <x v="10"/>
    <x v="2"/>
    <x v="1"/>
    <x v="1"/>
    <s v="YES"/>
    <n v="1"/>
    <x v="0"/>
    <x v="0"/>
  </r>
  <r>
    <n v="1036"/>
    <s v="Lisa Flores"/>
    <x v="1"/>
    <s v="D01"/>
    <s v="Sales Manager"/>
    <x v="35"/>
    <x v="12"/>
    <x v="3"/>
    <x v="3"/>
    <x v="1"/>
    <s v="NO"/>
    <n v="0"/>
    <x v="1"/>
    <x v="1"/>
  </r>
  <r>
    <n v="1037"/>
    <s v="Betty Sanchez"/>
    <x v="5"/>
    <s v="D04"/>
    <s v="Marketing Executive"/>
    <x v="36"/>
    <x v="2"/>
    <x v="0"/>
    <x v="3"/>
    <x v="0"/>
    <s v="NO"/>
    <n v="0"/>
    <x v="1"/>
    <x v="1"/>
  </r>
  <r>
    <n v="1038"/>
    <s v="Betty Martin"/>
    <x v="1"/>
    <s v="D01"/>
    <s v="Account Manager"/>
    <x v="37"/>
    <x v="13"/>
    <x v="1"/>
    <x v="0"/>
    <x v="1"/>
    <s v="NO"/>
    <n v="0"/>
    <x v="0"/>
    <x v="0"/>
  </r>
  <r>
    <n v="1039"/>
    <s v="Matthew Williams"/>
    <x v="4"/>
    <s v="D03"/>
    <s v="HR Executive"/>
    <x v="38"/>
    <x v="14"/>
    <x v="0"/>
    <x v="1"/>
    <x v="0"/>
    <s v="NO"/>
    <n v="0"/>
    <x v="0"/>
    <x v="1"/>
  </r>
  <r>
    <n v="1040"/>
    <s v="William Rodriguez"/>
    <x v="2"/>
    <s v="D06"/>
    <s v="Support Executive"/>
    <x v="39"/>
    <x v="12"/>
    <x v="0"/>
    <x v="1"/>
    <x v="0"/>
    <s v="NO"/>
    <n v="0"/>
    <x v="1"/>
    <x v="1"/>
  </r>
  <r>
    <n v="1041"/>
    <s v="Nancy Baker"/>
    <x v="4"/>
    <s v="D03"/>
    <s v="HR Executive"/>
    <x v="40"/>
    <x v="5"/>
    <x v="0"/>
    <x v="1"/>
    <x v="0"/>
    <s v="YES"/>
    <n v="1"/>
    <x v="2"/>
    <x v="0"/>
  </r>
  <r>
    <n v="1042"/>
    <s v="George Lewis"/>
    <x v="0"/>
    <s v="D05"/>
    <s v="Finance Manager"/>
    <x v="41"/>
    <x v="4"/>
    <x v="3"/>
    <x v="1"/>
    <x v="0"/>
    <s v="NO"/>
    <n v="0"/>
    <x v="0"/>
    <x v="0"/>
  </r>
  <r>
    <n v="1043"/>
    <s v="James Mitchell"/>
    <x v="0"/>
    <s v="D05"/>
    <s v="Accountant"/>
    <x v="42"/>
    <x v="1"/>
    <x v="1"/>
    <x v="3"/>
    <x v="0"/>
    <s v="NO"/>
    <n v="0"/>
    <x v="1"/>
    <x v="0"/>
  </r>
  <r>
    <n v="1044"/>
    <s v="Ashley Rivera"/>
    <x v="4"/>
    <s v="D03"/>
    <s v="HR Manager"/>
    <x v="43"/>
    <x v="5"/>
    <x v="0"/>
    <x v="1"/>
    <x v="0"/>
    <s v="NO"/>
    <n v="0"/>
    <x v="2"/>
    <x v="0"/>
  </r>
  <r>
    <n v="1045"/>
    <s v="Betty Martinez"/>
    <x v="5"/>
    <s v="D04"/>
    <s v="Brand Manager"/>
    <x v="44"/>
    <x v="4"/>
    <x v="0"/>
    <x v="0"/>
    <x v="1"/>
    <s v="NO"/>
    <n v="0"/>
    <x v="2"/>
    <x v="0"/>
  </r>
  <r>
    <n v="1046"/>
    <s v="Kimberly Rivera"/>
    <x v="0"/>
    <s v="D05"/>
    <s v="Accountant"/>
    <x v="45"/>
    <x v="7"/>
    <x v="0"/>
    <x v="3"/>
    <x v="1"/>
    <s v="NO"/>
    <n v="0"/>
    <x v="2"/>
    <x v="0"/>
  </r>
  <r>
    <n v="1047"/>
    <s v="Jonathan Walker"/>
    <x v="2"/>
    <s v="D06"/>
    <s v="Support Executive"/>
    <x v="46"/>
    <x v="15"/>
    <x v="2"/>
    <x v="0"/>
    <x v="1"/>
    <s v="YES"/>
    <n v="1"/>
    <x v="0"/>
    <x v="2"/>
  </r>
  <r>
    <n v="1048"/>
    <s v="George Gonzalez"/>
    <x v="2"/>
    <s v="D06"/>
    <s v="Support Team Lead"/>
    <x v="47"/>
    <x v="2"/>
    <x v="1"/>
    <x v="3"/>
    <x v="0"/>
    <s v="NO"/>
    <n v="0"/>
    <x v="2"/>
    <x v="1"/>
  </r>
  <r>
    <n v="1049"/>
    <s v="Dorothy Roberts"/>
    <x v="0"/>
    <s v="D01"/>
    <s v="Sales Manager"/>
    <x v="48"/>
    <x v="2"/>
    <x v="0"/>
    <x v="0"/>
    <x v="1"/>
    <s v="YES"/>
    <n v="1"/>
    <x v="1"/>
    <x v="1"/>
  </r>
  <r>
    <n v="1050"/>
    <s v="Gary Miller"/>
    <x v="0"/>
    <s v="D03"/>
    <s v="Recruiter"/>
    <x v="49"/>
    <x v="10"/>
    <x v="1"/>
    <x v="1"/>
    <x v="0"/>
    <s v="NO"/>
    <n v="0"/>
    <x v="2"/>
    <x v="0"/>
  </r>
  <r>
    <n v="1051"/>
    <s v="Ronald Mitchell"/>
    <x v="4"/>
    <s v="D03"/>
    <s v="HR Manager"/>
    <x v="50"/>
    <x v="6"/>
    <x v="3"/>
    <x v="1"/>
    <x v="0"/>
    <s v="NO"/>
    <n v="0"/>
    <x v="0"/>
    <x v="1"/>
  </r>
  <r>
    <n v="1052"/>
    <s v="Kevin Robinson"/>
    <x v="2"/>
    <s v="D06"/>
    <s v="Support Executive"/>
    <x v="51"/>
    <x v="7"/>
    <x v="3"/>
    <x v="0"/>
    <x v="1"/>
    <s v="NO"/>
    <n v="0"/>
    <x v="2"/>
    <x v="0"/>
  </r>
  <r>
    <n v="1053"/>
    <s v="Susan Green"/>
    <x v="1"/>
    <s v="D01"/>
    <s v="Sales Manager"/>
    <x v="52"/>
    <x v="4"/>
    <x v="0"/>
    <x v="0"/>
    <x v="0"/>
    <s v="NO"/>
    <n v="0"/>
    <x v="0"/>
    <x v="0"/>
  </r>
  <r>
    <n v="1054"/>
    <s v="Lisa Adams"/>
    <x v="5"/>
    <s v="D04"/>
    <s v="Marketing Executive"/>
    <x v="53"/>
    <x v="14"/>
    <x v="3"/>
    <x v="3"/>
    <x v="1"/>
    <s v="NO"/>
    <n v="0"/>
    <x v="0"/>
    <x v="1"/>
  </r>
  <r>
    <n v="1055"/>
    <s v="Christopher Rivera"/>
    <x v="0"/>
    <s v="D05"/>
    <s v="Accountant"/>
    <x v="54"/>
    <x v="8"/>
    <x v="2"/>
    <x v="3"/>
    <x v="1"/>
    <s v="YES"/>
    <n v="1"/>
    <x v="0"/>
    <x v="0"/>
  </r>
  <r>
    <n v="1056"/>
    <s v="Rebecca Green"/>
    <x v="2"/>
    <s v="D06"/>
    <s v="Support Team Lead"/>
    <x v="55"/>
    <x v="13"/>
    <x v="0"/>
    <x v="1"/>
    <x v="1"/>
    <s v="NO"/>
    <n v="0"/>
    <x v="0"/>
    <x v="0"/>
  </r>
  <r>
    <n v="1057"/>
    <s v="Donna Carter"/>
    <x v="3"/>
    <s v="D02"/>
    <s v="Senior Engineer"/>
    <x v="56"/>
    <x v="16"/>
    <x v="0"/>
    <x v="3"/>
    <x v="0"/>
    <s v="NO"/>
    <n v="0"/>
    <x v="0"/>
    <x v="1"/>
  </r>
  <r>
    <n v="1058"/>
    <s v="Sarah King"/>
    <x v="0"/>
    <s v="D01"/>
    <s v="Account Manager"/>
    <x v="57"/>
    <x v="5"/>
    <x v="2"/>
    <x v="3"/>
    <x v="0"/>
    <s v="NO"/>
    <n v="0"/>
    <x v="2"/>
    <x v="0"/>
  </r>
  <r>
    <n v="1059"/>
    <s v="Stephen Green"/>
    <x v="2"/>
    <s v="D06"/>
    <s v="Support Team Lead"/>
    <x v="58"/>
    <x v="11"/>
    <x v="2"/>
    <x v="0"/>
    <x v="0"/>
    <s v="YES"/>
    <n v="1"/>
    <x v="0"/>
    <x v="0"/>
  </r>
  <r>
    <n v="1060"/>
    <s v="Jason Clark"/>
    <x v="2"/>
    <s v="D06"/>
    <s v="Support Executive"/>
    <x v="59"/>
    <x v="6"/>
    <x v="0"/>
    <x v="1"/>
    <x v="1"/>
    <s v="NO"/>
    <n v="0"/>
    <x v="1"/>
    <x v="1"/>
  </r>
  <r>
    <n v="1061"/>
    <s v="Anthony Jackson"/>
    <x v="4"/>
    <s v="D03"/>
    <s v="HR Manager"/>
    <x v="60"/>
    <x v="6"/>
    <x v="1"/>
    <x v="1"/>
    <x v="0"/>
    <s v="NO"/>
    <n v="0"/>
    <x v="0"/>
    <x v="1"/>
  </r>
  <r>
    <n v="1062"/>
    <s v="Jennifer Gonzalez"/>
    <x v="0"/>
    <s v="D05"/>
    <s v="Finance Manager"/>
    <x v="61"/>
    <x v="10"/>
    <x v="1"/>
    <x v="1"/>
    <x v="0"/>
    <s v="NO"/>
    <n v="0"/>
    <x v="0"/>
    <x v="0"/>
  </r>
  <r>
    <n v="1063"/>
    <s v="Michelle Scott"/>
    <x v="1"/>
    <s v="D01"/>
    <s v="Sales Manager"/>
    <x v="62"/>
    <x v="2"/>
    <x v="2"/>
    <x v="2"/>
    <x v="1"/>
    <s v="NO"/>
    <n v="0"/>
    <x v="0"/>
    <x v="1"/>
  </r>
  <r>
    <n v="1064"/>
    <s v="Margaret Martinez"/>
    <x v="1"/>
    <s v="D01"/>
    <s v="Sales Executive"/>
    <x v="63"/>
    <x v="2"/>
    <x v="1"/>
    <x v="0"/>
    <x v="0"/>
    <s v="NO"/>
    <n v="0"/>
    <x v="2"/>
    <x v="1"/>
  </r>
  <r>
    <n v="1065"/>
    <s v="Michael Rivera"/>
    <x v="0"/>
    <s v="D05"/>
    <s v="Financial Analyst"/>
    <x v="64"/>
    <x v="16"/>
    <x v="1"/>
    <x v="0"/>
    <x v="1"/>
    <s v="NO"/>
    <n v="0"/>
    <x v="0"/>
    <x v="1"/>
  </r>
  <r>
    <n v="1066"/>
    <s v="Larry Perez"/>
    <x v="0"/>
    <s v="D05"/>
    <s v="Accountant"/>
    <x v="65"/>
    <x v="3"/>
    <x v="1"/>
    <x v="0"/>
    <x v="0"/>
    <s v="NO"/>
    <n v="0"/>
    <x v="0"/>
    <x v="2"/>
  </r>
  <r>
    <n v="1067"/>
    <s v="Jennifer Jackson"/>
    <x v="4"/>
    <s v="D03"/>
    <s v="Recruiter"/>
    <x v="66"/>
    <x v="8"/>
    <x v="0"/>
    <x v="1"/>
    <x v="0"/>
    <s v="NO"/>
    <n v="0"/>
    <x v="0"/>
    <x v="0"/>
  </r>
  <r>
    <n v="1068"/>
    <s v="William Anderson"/>
    <x v="4"/>
    <s v="D03"/>
    <s v="HR Manager"/>
    <x v="67"/>
    <x v="14"/>
    <x v="0"/>
    <x v="3"/>
    <x v="0"/>
    <s v="NO"/>
    <n v="0"/>
    <x v="0"/>
    <x v="1"/>
  </r>
  <r>
    <n v="1069"/>
    <s v="Patricia Thompson"/>
    <x v="0"/>
    <s v="D05"/>
    <s v="Accountant"/>
    <x v="68"/>
    <x v="12"/>
    <x v="3"/>
    <x v="1"/>
    <x v="0"/>
    <s v="NO"/>
    <n v="0"/>
    <x v="0"/>
    <x v="1"/>
  </r>
  <r>
    <n v="1070"/>
    <s v="Scott Green"/>
    <x v="0"/>
    <s v="D05"/>
    <s v="Financial Analyst"/>
    <x v="69"/>
    <x v="9"/>
    <x v="2"/>
    <x v="0"/>
    <x v="1"/>
    <s v="NO"/>
    <n v="0"/>
    <x v="0"/>
    <x v="0"/>
  </r>
  <r>
    <n v="1071"/>
    <s v="Kathleen Brown"/>
    <x v="2"/>
    <s v="D06"/>
    <s v="Support Team Lead"/>
    <x v="70"/>
    <x v="2"/>
    <x v="2"/>
    <x v="3"/>
    <x v="0"/>
    <s v="NO"/>
    <n v="0"/>
    <x v="0"/>
    <x v="1"/>
  </r>
  <r>
    <n v="1072"/>
    <s v="Sarah Roberts"/>
    <x v="2"/>
    <s v="D06"/>
    <s v="Support Executive"/>
    <x v="71"/>
    <x v="6"/>
    <x v="3"/>
    <x v="3"/>
    <x v="0"/>
    <s v="NO"/>
    <n v="0"/>
    <x v="0"/>
    <x v="1"/>
  </r>
  <r>
    <n v="1073"/>
    <s v="Nancy Taylor"/>
    <x v="0"/>
    <s v="D05"/>
    <s v="Financial Analyst"/>
    <x v="72"/>
    <x v="15"/>
    <x v="2"/>
    <x v="0"/>
    <x v="0"/>
    <s v="YES"/>
    <n v="1"/>
    <x v="0"/>
    <x v="2"/>
  </r>
  <r>
    <n v="1074"/>
    <s v="Nicholas Perez"/>
    <x v="4"/>
    <s v="D03"/>
    <s v="HR Executive"/>
    <x v="73"/>
    <x v="6"/>
    <x v="0"/>
    <x v="3"/>
    <x v="1"/>
    <s v="NO"/>
    <n v="0"/>
    <x v="2"/>
    <x v="1"/>
  </r>
  <r>
    <n v="1075"/>
    <s v="Matthew Nguyen"/>
    <x v="2"/>
    <s v="D06"/>
    <s v="Support Executive"/>
    <x v="74"/>
    <x v="1"/>
    <x v="0"/>
    <x v="0"/>
    <x v="1"/>
    <s v="YES"/>
    <n v="1"/>
    <x v="0"/>
    <x v="0"/>
  </r>
  <r>
    <n v="1076"/>
    <s v="Eric Jones"/>
    <x v="4"/>
    <s v="D03"/>
    <s v="Recruiter"/>
    <x v="75"/>
    <x v="6"/>
    <x v="0"/>
    <x v="3"/>
    <x v="1"/>
    <s v="NO"/>
    <n v="0"/>
    <x v="0"/>
    <x v="1"/>
  </r>
  <r>
    <n v="1077"/>
    <s v="Matthew Taylor"/>
    <x v="2"/>
    <s v="D06"/>
    <s v="Support Team Lead"/>
    <x v="76"/>
    <x v="9"/>
    <x v="1"/>
    <x v="1"/>
    <x v="0"/>
    <s v="YES"/>
    <n v="1"/>
    <x v="1"/>
    <x v="0"/>
  </r>
  <r>
    <n v="1078"/>
    <s v="Rebecca Hill"/>
    <x v="4"/>
    <s v="D03"/>
    <s v="HR Manager"/>
    <x v="77"/>
    <x v="1"/>
    <x v="2"/>
    <x v="1"/>
    <x v="0"/>
    <s v="YES"/>
    <n v="1"/>
    <x v="0"/>
    <x v="0"/>
  </r>
  <r>
    <n v="1079"/>
    <s v="Sharon Gonzalez"/>
    <x v="0"/>
    <s v="D04"/>
    <s v="Brand Manager"/>
    <x v="78"/>
    <x v="10"/>
    <x v="0"/>
    <x v="1"/>
    <x v="0"/>
    <s v="YES"/>
    <n v="1"/>
    <x v="1"/>
    <x v="0"/>
  </r>
  <r>
    <n v="1080"/>
    <s v="Joseph Martin"/>
    <x v="0"/>
    <s v="D05"/>
    <s v="Accountant"/>
    <x v="79"/>
    <x v="2"/>
    <x v="0"/>
    <x v="3"/>
    <x v="0"/>
    <s v="NO"/>
    <n v="0"/>
    <x v="1"/>
    <x v="1"/>
  </r>
  <r>
    <n v="1081"/>
    <s v="Stephen Martin"/>
    <x v="3"/>
    <s v="D02"/>
    <s v="Software Engineer"/>
    <x v="80"/>
    <x v="2"/>
    <x v="0"/>
    <x v="3"/>
    <x v="1"/>
    <s v="NO"/>
    <n v="0"/>
    <x v="0"/>
    <x v="1"/>
  </r>
  <r>
    <n v="1082"/>
    <s v="Amanda Mitchell"/>
    <x v="3"/>
    <s v="D02"/>
    <s v="Senior Engineer"/>
    <x v="81"/>
    <x v="12"/>
    <x v="3"/>
    <x v="0"/>
    <x v="0"/>
    <s v="NO"/>
    <n v="0"/>
    <x v="2"/>
    <x v="1"/>
  </r>
  <r>
    <n v="1083"/>
    <s v="Justin Davis"/>
    <x v="4"/>
    <s v="D03"/>
    <s v="Recruiter"/>
    <x v="82"/>
    <x v="3"/>
    <x v="1"/>
    <x v="0"/>
    <x v="0"/>
    <s v="NO"/>
    <n v="0"/>
    <x v="0"/>
    <x v="2"/>
  </r>
  <r>
    <n v="1084"/>
    <s v="Kevin Lee"/>
    <x v="5"/>
    <s v="D04"/>
    <s v="Marketing Executive"/>
    <x v="83"/>
    <x v="15"/>
    <x v="2"/>
    <x v="0"/>
    <x v="1"/>
    <s v="YES"/>
    <n v="1"/>
    <x v="1"/>
    <x v="2"/>
  </r>
  <r>
    <n v="1085"/>
    <s v="Richard Clark"/>
    <x v="3"/>
    <s v="D02"/>
    <s v="Senior Engineer"/>
    <x v="84"/>
    <x v="2"/>
    <x v="3"/>
    <x v="0"/>
    <x v="1"/>
    <s v="YES"/>
    <n v="1"/>
    <x v="0"/>
    <x v="1"/>
  </r>
  <r>
    <n v="1086"/>
    <s v="Angela Jackson"/>
    <x v="0"/>
    <s v="D01"/>
    <s v="Account Manager"/>
    <x v="85"/>
    <x v="11"/>
    <x v="1"/>
    <x v="1"/>
    <x v="0"/>
    <s v="NO"/>
    <n v="0"/>
    <x v="0"/>
    <x v="0"/>
  </r>
  <r>
    <n v="1087"/>
    <s v="Patricia Gonzalez"/>
    <x v="0"/>
    <s v="D05"/>
    <s v="Finance Manager"/>
    <x v="86"/>
    <x v="6"/>
    <x v="1"/>
    <x v="1"/>
    <x v="0"/>
    <s v="NO"/>
    <n v="0"/>
    <x v="2"/>
    <x v="1"/>
  </r>
  <r>
    <n v="1088"/>
    <s v="Richard Nguyen"/>
    <x v="3"/>
    <s v="D02"/>
    <s v="Senior Engineer"/>
    <x v="87"/>
    <x v="4"/>
    <x v="3"/>
    <x v="2"/>
    <x v="0"/>
    <s v="NO"/>
    <n v="0"/>
    <x v="0"/>
    <x v="0"/>
  </r>
  <r>
    <n v="1089"/>
    <s v="Justin Anderson"/>
    <x v="3"/>
    <s v="D02"/>
    <s v="Software Engineer"/>
    <x v="88"/>
    <x v="1"/>
    <x v="2"/>
    <x v="0"/>
    <x v="1"/>
    <s v="NO"/>
    <n v="0"/>
    <x v="2"/>
    <x v="0"/>
  </r>
  <r>
    <n v="1090"/>
    <s v="Patricia Perez"/>
    <x v="0"/>
    <s v="D05"/>
    <s v="Financial Analyst"/>
    <x v="89"/>
    <x v="11"/>
    <x v="1"/>
    <x v="1"/>
    <x v="1"/>
    <s v="NO"/>
    <n v="0"/>
    <x v="0"/>
    <x v="0"/>
  </r>
  <r>
    <n v="1091"/>
    <s v="Pamela White"/>
    <x v="0"/>
    <s v="D01"/>
    <s v="Account Manager"/>
    <x v="90"/>
    <x v="17"/>
    <x v="1"/>
    <x v="2"/>
    <x v="1"/>
    <s v="NO"/>
    <n v="0"/>
    <x v="0"/>
    <x v="2"/>
  </r>
  <r>
    <n v="1092"/>
    <s v="George Allen"/>
    <x v="4"/>
    <s v="D03"/>
    <s v="HR Executive"/>
    <x v="91"/>
    <x v="13"/>
    <x v="2"/>
    <x v="1"/>
    <x v="0"/>
    <s v="YES"/>
    <n v="1"/>
    <x v="0"/>
    <x v="0"/>
  </r>
  <r>
    <n v="1093"/>
    <s v="Richard Lopez"/>
    <x v="2"/>
    <s v="D06"/>
    <s v="Support Executive"/>
    <x v="92"/>
    <x v="5"/>
    <x v="2"/>
    <x v="0"/>
    <x v="0"/>
    <s v="YES"/>
    <n v="1"/>
    <x v="0"/>
    <x v="0"/>
  </r>
  <r>
    <n v="1094"/>
    <s v="Jennifer Nguyen"/>
    <x v="4"/>
    <s v="D03"/>
    <s v="HR Executive"/>
    <x v="93"/>
    <x v="0"/>
    <x v="3"/>
    <x v="1"/>
    <x v="0"/>
    <s v="NO"/>
    <n v="0"/>
    <x v="2"/>
    <x v="0"/>
  </r>
  <r>
    <n v="1095"/>
    <s v="Anthony Ramirez"/>
    <x v="3"/>
    <s v="D02"/>
    <s v="Software Engineer"/>
    <x v="94"/>
    <x v="5"/>
    <x v="2"/>
    <x v="1"/>
    <x v="0"/>
    <s v="NO"/>
    <n v="0"/>
    <x v="0"/>
    <x v="0"/>
  </r>
  <r>
    <n v="1096"/>
    <s v="Brian Hall"/>
    <x v="0"/>
    <s v="D03"/>
    <s v="Recruiter"/>
    <x v="95"/>
    <x v="14"/>
    <x v="0"/>
    <x v="3"/>
    <x v="1"/>
    <s v="NO"/>
    <n v="0"/>
    <x v="2"/>
    <x v="1"/>
  </r>
  <r>
    <n v="1097"/>
    <s v="Emily Martin"/>
    <x v="0"/>
    <s v="D03"/>
    <s v="HR Manager"/>
    <x v="96"/>
    <x v="12"/>
    <x v="0"/>
    <x v="1"/>
    <x v="0"/>
    <s v="NO"/>
    <n v="0"/>
    <x v="0"/>
    <x v="1"/>
  </r>
  <r>
    <n v="1098"/>
    <s v="Barbara Adams"/>
    <x v="2"/>
    <s v="D06"/>
    <s v="Support Executive"/>
    <x v="97"/>
    <x v="4"/>
    <x v="1"/>
    <x v="1"/>
    <x v="0"/>
    <s v="NO"/>
    <n v="0"/>
    <x v="1"/>
    <x v="0"/>
  </r>
  <r>
    <n v="1099"/>
    <s v="Stephen White"/>
    <x v="2"/>
    <s v="D06"/>
    <s v="Support Team Lead"/>
    <x v="98"/>
    <x v="13"/>
    <x v="1"/>
    <x v="0"/>
    <x v="0"/>
    <s v="NO"/>
    <n v="0"/>
    <x v="1"/>
    <x v="0"/>
  </r>
  <r>
    <n v="1100"/>
    <s v="Shirley Ramirez"/>
    <x v="4"/>
    <s v="D03"/>
    <s v="HR Executive"/>
    <x v="99"/>
    <x v="4"/>
    <x v="2"/>
    <x v="3"/>
    <x v="1"/>
    <s v="NO"/>
    <n v="0"/>
    <x v="0"/>
    <x v="0"/>
  </r>
  <r>
    <n v="1101"/>
    <s v="Nicole Flores"/>
    <x v="2"/>
    <s v="D06"/>
    <s v="Support Team Lead"/>
    <x v="100"/>
    <x v="2"/>
    <x v="0"/>
    <x v="3"/>
    <x v="1"/>
    <s v="NO"/>
    <n v="0"/>
    <x v="0"/>
    <x v="1"/>
  </r>
  <r>
    <n v="1102"/>
    <s v="Joseph Anderson"/>
    <x v="4"/>
    <s v="D03"/>
    <s v="Recruiter"/>
    <x v="101"/>
    <x v="14"/>
    <x v="1"/>
    <x v="0"/>
    <x v="1"/>
    <s v="NO"/>
    <n v="0"/>
    <x v="1"/>
    <x v="1"/>
  </r>
  <r>
    <n v="1103"/>
    <s v="Joseph Green"/>
    <x v="5"/>
    <s v="D04"/>
    <s v="Brand Manager"/>
    <x v="102"/>
    <x v="5"/>
    <x v="1"/>
    <x v="0"/>
    <x v="0"/>
    <s v="NO"/>
    <n v="0"/>
    <x v="2"/>
    <x v="0"/>
  </r>
  <r>
    <n v="1104"/>
    <s v="Amanda Hernandez"/>
    <x v="1"/>
    <s v="D01"/>
    <s v="Sales Manager"/>
    <x v="103"/>
    <x v="7"/>
    <x v="1"/>
    <x v="1"/>
    <x v="0"/>
    <s v="NO"/>
    <n v="0"/>
    <x v="2"/>
    <x v="0"/>
  </r>
  <r>
    <n v="1105"/>
    <s v="Joseph Johnson"/>
    <x v="4"/>
    <s v="D03"/>
    <s v="Recruiter"/>
    <x v="104"/>
    <x v="4"/>
    <x v="3"/>
    <x v="1"/>
    <x v="0"/>
    <s v="NO"/>
    <n v="0"/>
    <x v="0"/>
    <x v="0"/>
  </r>
  <r>
    <n v="1106"/>
    <s v="Laura Sanchez"/>
    <x v="0"/>
    <s v="D05"/>
    <s v="Financial Analyst"/>
    <x v="105"/>
    <x v="1"/>
    <x v="0"/>
    <x v="2"/>
    <x v="1"/>
    <s v="NO"/>
    <n v="0"/>
    <x v="2"/>
    <x v="0"/>
  </r>
  <r>
    <n v="1107"/>
    <s v="Ryan Hill"/>
    <x v="4"/>
    <s v="D03"/>
    <s v="HR Executive"/>
    <x v="106"/>
    <x v="11"/>
    <x v="1"/>
    <x v="3"/>
    <x v="1"/>
    <s v="NO"/>
    <n v="0"/>
    <x v="0"/>
    <x v="0"/>
  </r>
  <r>
    <n v="1108"/>
    <s v="Carol Mitchell"/>
    <x v="2"/>
    <s v="D06"/>
    <s v="Support Team Lead"/>
    <x v="107"/>
    <x v="7"/>
    <x v="2"/>
    <x v="0"/>
    <x v="0"/>
    <s v="YES"/>
    <n v="1"/>
    <x v="2"/>
    <x v="0"/>
  </r>
  <r>
    <n v="1109"/>
    <s v="Michelle Taylor"/>
    <x v="3"/>
    <s v="D02"/>
    <s v="QA Engineer"/>
    <x v="108"/>
    <x v="12"/>
    <x v="0"/>
    <x v="1"/>
    <x v="0"/>
    <s v="NO"/>
    <n v="0"/>
    <x v="1"/>
    <x v="1"/>
  </r>
  <r>
    <n v="1110"/>
    <s v="Nicole Jackson"/>
    <x v="3"/>
    <s v="D02"/>
    <s v="QA Engineer"/>
    <x v="109"/>
    <x v="4"/>
    <x v="2"/>
    <x v="1"/>
    <x v="1"/>
    <s v="NO"/>
    <n v="0"/>
    <x v="1"/>
    <x v="0"/>
  </r>
  <r>
    <n v="1111"/>
    <s v="Linda Clark"/>
    <x v="0"/>
    <s v="D05"/>
    <s v="Accountant"/>
    <x v="110"/>
    <x v="18"/>
    <x v="2"/>
    <x v="1"/>
    <x v="0"/>
    <s v="YES"/>
    <n v="1"/>
    <x v="2"/>
    <x v="2"/>
  </r>
  <r>
    <n v="1112"/>
    <s v="Nicole Torres"/>
    <x v="1"/>
    <s v="D01"/>
    <s v="Account Manager"/>
    <x v="111"/>
    <x v="12"/>
    <x v="0"/>
    <x v="1"/>
    <x v="0"/>
    <s v="YES"/>
    <n v="1"/>
    <x v="2"/>
    <x v="1"/>
  </r>
  <r>
    <n v="1113"/>
    <s v="Sarah Davis"/>
    <x v="0"/>
    <s v="D05"/>
    <s v="Accountant"/>
    <x v="112"/>
    <x v="17"/>
    <x v="1"/>
    <x v="0"/>
    <x v="1"/>
    <s v="YES"/>
    <n v="1"/>
    <x v="2"/>
    <x v="2"/>
  </r>
  <r>
    <n v="1114"/>
    <s v="Stephanie Baker"/>
    <x v="5"/>
    <s v="D04"/>
    <s v="Brand Manager"/>
    <x v="113"/>
    <x v="14"/>
    <x v="3"/>
    <x v="3"/>
    <x v="0"/>
    <s v="NO"/>
    <n v="0"/>
    <x v="0"/>
    <x v="1"/>
  </r>
  <r>
    <n v="1115"/>
    <s v="Joshua Jackson"/>
    <x v="0"/>
    <s v="D03"/>
    <s v="Recruiter"/>
    <x v="114"/>
    <x v="6"/>
    <x v="0"/>
    <x v="3"/>
    <x v="1"/>
    <s v="NO"/>
    <n v="0"/>
    <x v="0"/>
    <x v="1"/>
  </r>
  <r>
    <n v="1116"/>
    <s v="Mary Rodriguez"/>
    <x v="3"/>
    <s v="D02"/>
    <s v="Senior Engineer"/>
    <x v="115"/>
    <x v="16"/>
    <x v="0"/>
    <x v="1"/>
    <x v="0"/>
    <s v="NO"/>
    <n v="0"/>
    <x v="0"/>
    <x v="1"/>
  </r>
  <r>
    <n v="1117"/>
    <s v="Kenneth Jones"/>
    <x v="5"/>
    <s v="D04"/>
    <s v="Marketing Executive"/>
    <x v="116"/>
    <x v="8"/>
    <x v="0"/>
    <x v="1"/>
    <x v="0"/>
    <s v="NO"/>
    <n v="0"/>
    <x v="2"/>
    <x v="0"/>
  </r>
  <r>
    <n v="1118"/>
    <s v="Edward Scott"/>
    <x v="5"/>
    <s v="D04"/>
    <s v="Brand Manager"/>
    <x v="117"/>
    <x v="15"/>
    <x v="2"/>
    <x v="1"/>
    <x v="1"/>
    <s v="YES"/>
    <n v="1"/>
    <x v="2"/>
    <x v="2"/>
  </r>
  <r>
    <n v="1119"/>
    <s v="Steven Hall"/>
    <x v="1"/>
    <s v="D01"/>
    <s v="Sales Executive"/>
    <x v="118"/>
    <x v="1"/>
    <x v="2"/>
    <x v="3"/>
    <x v="1"/>
    <s v="YES"/>
    <n v="1"/>
    <x v="0"/>
    <x v="0"/>
  </r>
  <r>
    <n v="1120"/>
    <s v="William Sanchez"/>
    <x v="1"/>
    <s v="D01"/>
    <s v="Account Manager"/>
    <x v="119"/>
    <x v="2"/>
    <x v="0"/>
    <x v="1"/>
    <x v="1"/>
    <s v="NO"/>
    <n v="0"/>
    <x v="0"/>
    <x v="1"/>
  </r>
  <r>
    <n v="1121"/>
    <s v="Karen Nelson"/>
    <x v="1"/>
    <s v="D01"/>
    <s v="Sales Manager"/>
    <x v="120"/>
    <x v="2"/>
    <x v="0"/>
    <x v="1"/>
    <x v="0"/>
    <s v="NO"/>
    <n v="0"/>
    <x v="0"/>
    <x v="1"/>
  </r>
  <r>
    <n v="1122"/>
    <s v="Thomas White"/>
    <x v="5"/>
    <s v="D04"/>
    <s v="Content Strategist"/>
    <x v="121"/>
    <x v="17"/>
    <x v="2"/>
    <x v="0"/>
    <x v="0"/>
    <s v="YES"/>
    <n v="1"/>
    <x v="1"/>
    <x v="2"/>
  </r>
  <r>
    <n v="1123"/>
    <s v="Jennifer Rivera"/>
    <x v="5"/>
    <s v="D04"/>
    <s v="Content Strategist"/>
    <x v="122"/>
    <x v="16"/>
    <x v="1"/>
    <x v="3"/>
    <x v="1"/>
    <s v="YES"/>
    <n v="1"/>
    <x v="0"/>
    <x v="1"/>
  </r>
  <r>
    <n v="1124"/>
    <s v="Susan Nguyen"/>
    <x v="5"/>
    <s v="D04"/>
    <s v="Marketing Executive"/>
    <x v="123"/>
    <x v="4"/>
    <x v="0"/>
    <x v="0"/>
    <x v="0"/>
    <s v="NO"/>
    <n v="0"/>
    <x v="1"/>
    <x v="0"/>
  </r>
  <r>
    <n v="1125"/>
    <s v="Margaret Torres"/>
    <x v="1"/>
    <s v="D01"/>
    <s v="Account Manager"/>
    <x v="124"/>
    <x v="7"/>
    <x v="1"/>
    <x v="3"/>
    <x v="0"/>
    <s v="NO"/>
    <n v="0"/>
    <x v="0"/>
    <x v="0"/>
  </r>
  <r>
    <n v="1126"/>
    <s v="Joshua Thomas"/>
    <x v="0"/>
    <s v="D02"/>
    <s v="Software Engineer"/>
    <x v="125"/>
    <x v="2"/>
    <x v="1"/>
    <x v="1"/>
    <x v="1"/>
    <s v="NO"/>
    <n v="0"/>
    <x v="1"/>
    <x v="1"/>
  </r>
  <r>
    <n v="1127"/>
    <s v="William Clark"/>
    <x v="0"/>
    <s v="D04"/>
    <s v="Content Strategist"/>
    <x v="126"/>
    <x v="4"/>
    <x v="0"/>
    <x v="1"/>
    <x v="0"/>
    <s v="NO"/>
    <n v="0"/>
    <x v="2"/>
    <x v="0"/>
  </r>
  <r>
    <n v="1128"/>
    <s v="Anna Mitchell"/>
    <x v="4"/>
    <s v="D03"/>
    <s v="HR Executive"/>
    <x v="127"/>
    <x v="2"/>
    <x v="3"/>
    <x v="1"/>
    <x v="0"/>
    <s v="NO"/>
    <n v="0"/>
    <x v="0"/>
    <x v="1"/>
  </r>
  <r>
    <n v="1129"/>
    <s v="Laura Jackson"/>
    <x v="2"/>
    <s v="D06"/>
    <s v="Support Executive"/>
    <x v="128"/>
    <x v="10"/>
    <x v="0"/>
    <x v="1"/>
    <x v="0"/>
    <s v="NO"/>
    <n v="0"/>
    <x v="2"/>
    <x v="0"/>
  </r>
  <r>
    <n v="1130"/>
    <s v="Anthony Adams"/>
    <x v="5"/>
    <s v="D04"/>
    <s v="Marketing Executive"/>
    <x v="126"/>
    <x v="4"/>
    <x v="0"/>
    <x v="0"/>
    <x v="1"/>
    <s v="NO"/>
    <n v="0"/>
    <x v="2"/>
    <x v="0"/>
  </r>
  <r>
    <n v="1131"/>
    <s v="Michael Lopez"/>
    <x v="0"/>
    <s v="D02"/>
    <s v="Software Engineer"/>
    <x v="129"/>
    <x v="5"/>
    <x v="1"/>
    <x v="2"/>
    <x v="1"/>
    <s v="NO"/>
    <n v="0"/>
    <x v="2"/>
    <x v="0"/>
  </r>
  <r>
    <n v="1132"/>
    <s v="Christopher White"/>
    <x v="5"/>
    <s v="D04"/>
    <s v="Content Strategist"/>
    <x v="130"/>
    <x v="2"/>
    <x v="1"/>
    <x v="3"/>
    <x v="0"/>
    <s v="NO"/>
    <n v="0"/>
    <x v="2"/>
    <x v="1"/>
  </r>
  <r>
    <n v="1133"/>
    <s v="Nicholas Thomas"/>
    <x v="2"/>
    <s v="D06"/>
    <s v="Support Executive"/>
    <x v="131"/>
    <x v="7"/>
    <x v="1"/>
    <x v="1"/>
    <x v="1"/>
    <s v="YES"/>
    <n v="1"/>
    <x v="0"/>
    <x v="0"/>
  </r>
  <r>
    <n v="1134"/>
    <s v="Richard Williams"/>
    <x v="1"/>
    <s v="D01"/>
    <s v="Sales Manager"/>
    <x v="132"/>
    <x v="4"/>
    <x v="3"/>
    <x v="1"/>
    <x v="0"/>
    <s v="NO"/>
    <n v="0"/>
    <x v="0"/>
    <x v="0"/>
  </r>
  <r>
    <n v="1135"/>
    <s v="Kathleen Williams"/>
    <x v="2"/>
    <s v="D06"/>
    <s v="Support Executive"/>
    <x v="133"/>
    <x v="8"/>
    <x v="0"/>
    <x v="1"/>
    <x v="0"/>
    <s v="NO"/>
    <n v="0"/>
    <x v="2"/>
    <x v="0"/>
  </r>
  <r>
    <n v="1136"/>
    <s v="Shirley Martin"/>
    <x v="1"/>
    <s v="D01"/>
    <s v="Sales Manager"/>
    <x v="134"/>
    <x v="9"/>
    <x v="1"/>
    <x v="0"/>
    <x v="1"/>
    <s v="YES"/>
    <n v="1"/>
    <x v="2"/>
    <x v="0"/>
  </r>
  <r>
    <n v="1137"/>
    <s v="Carol Nelson"/>
    <x v="5"/>
    <s v="D04"/>
    <s v="Brand Manager"/>
    <x v="135"/>
    <x v="18"/>
    <x v="2"/>
    <x v="3"/>
    <x v="0"/>
    <s v="NO"/>
    <n v="0"/>
    <x v="1"/>
    <x v="2"/>
  </r>
  <r>
    <n v="1138"/>
    <s v="Jennifer Harris"/>
    <x v="0"/>
    <s v="D03"/>
    <s v="HR Executive"/>
    <x v="136"/>
    <x v="16"/>
    <x v="0"/>
    <x v="1"/>
    <x v="1"/>
    <s v="NO"/>
    <n v="0"/>
    <x v="2"/>
    <x v="1"/>
  </r>
  <r>
    <n v="1139"/>
    <s v="Daniel Miller"/>
    <x v="4"/>
    <s v="D03"/>
    <s v="Recruiter"/>
    <x v="137"/>
    <x v="17"/>
    <x v="1"/>
    <x v="3"/>
    <x v="1"/>
    <s v="YES"/>
    <n v="1"/>
    <x v="1"/>
    <x v="2"/>
  </r>
  <r>
    <n v="1140"/>
    <s v="Amy White"/>
    <x v="1"/>
    <s v="D01"/>
    <s v="Account Manager"/>
    <x v="138"/>
    <x v="7"/>
    <x v="0"/>
    <x v="1"/>
    <x v="1"/>
    <s v="YES"/>
    <n v="1"/>
    <x v="2"/>
    <x v="0"/>
  </r>
  <r>
    <n v="1141"/>
    <s v="Emily Green"/>
    <x v="5"/>
    <s v="D04"/>
    <s v="Brand Manager"/>
    <x v="139"/>
    <x v="5"/>
    <x v="1"/>
    <x v="0"/>
    <x v="1"/>
    <s v="NO"/>
    <n v="0"/>
    <x v="1"/>
    <x v="0"/>
  </r>
  <r>
    <n v="1142"/>
    <s v="Michael Nguyen"/>
    <x v="3"/>
    <s v="D02"/>
    <s v="Senior Engineer"/>
    <x v="140"/>
    <x v="2"/>
    <x v="3"/>
    <x v="1"/>
    <x v="0"/>
    <s v="NO"/>
    <n v="0"/>
    <x v="2"/>
    <x v="1"/>
  </r>
  <r>
    <n v="1143"/>
    <s v="Emily Carter"/>
    <x v="1"/>
    <s v="D01"/>
    <s v="Sales Manager"/>
    <x v="141"/>
    <x v="2"/>
    <x v="0"/>
    <x v="1"/>
    <x v="0"/>
    <s v="NO"/>
    <n v="0"/>
    <x v="0"/>
    <x v="1"/>
  </r>
  <r>
    <n v="1144"/>
    <s v="Joseph Martin"/>
    <x v="1"/>
    <s v="D01"/>
    <s v="Sales Manager"/>
    <x v="142"/>
    <x v="19"/>
    <x v="1"/>
    <x v="1"/>
    <x v="1"/>
    <s v="NO"/>
    <n v="0"/>
    <x v="0"/>
    <x v="2"/>
  </r>
  <r>
    <n v="1145"/>
    <s v="James Torres"/>
    <x v="0"/>
    <s v="D03"/>
    <s v="Recruiter"/>
    <x v="143"/>
    <x v="11"/>
    <x v="0"/>
    <x v="1"/>
    <x v="0"/>
    <s v="NO"/>
    <n v="0"/>
    <x v="2"/>
    <x v="0"/>
  </r>
  <r>
    <n v="1146"/>
    <s v="Nicole Hill"/>
    <x v="1"/>
    <s v="D01"/>
    <s v="Sales Manager"/>
    <x v="144"/>
    <x v="15"/>
    <x v="2"/>
    <x v="2"/>
    <x v="1"/>
    <s v="YES"/>
    <n v="1"/>
    <x v="0"/>
    <x v="2"/>
  </r>
  <r>
    <n v="1147"/>
    <s v="Cynthia Davis"/>
    <x v="0"/>
    <s v="D05"/>
    <s v="Finance Manager"/>
    <x v="145"/>
    <x v="1"/>
    <x v="2"/>
    <x v="1"/>
    <x v="1"/>
    <s v="NO"/>
    <n v="0"/>
    <x v="2"/>
    <x v="0"/>
  </r>
  <r>
    <n v="1148"/>
    <s v="Linda White"/>
    <x v="5"/>
    <s v="D04"/>
    <s v="Brand Manager"/>
    <x v="146"/>
    <x v="19"/>
    <x v="2"/>
    <x v="1"/>
    <x v="1"/>
    <s v="YES"/>
    <n v="1"/>
    <x v="2"/>
    <x v="2"/>
  </r>
  <r>
    <n v="1149"/>
    <s v="Donna Mitchell"/>
    <x v="1"/>
    <s v="D01"/>
    <s v="Sales Executive"/>
    <x v="147"/>
    <x v="0"/>
    <x v="3"/>
    <x v="0"/>
    <x v="1"/>
    <s v="NO"/>
    <n v="0"/>
    <x v="2"/>
    <x v="0"/>
  </r>
  <r>
    <n v="1150"/>
    <s v="Karen White"/>
    <x v="4"/>
    <s v="D03"/>
    <s v="HR Manager"/>
    <x v="148"/>
    <x v="0"/>
    <x v="3"/>
    <x v="0"/>
    <x v="0"/>
    <s v="NO"/>
    <n v="0"/>
    <x v="2"/>
    <x v="0"/>
  </r>
  <r>
    <n v="1151"/>
    <s v="Margaret Campbell"/>
    <x v="1"/>
    <s v="D01"/>
    <s v="Sales Manager"/>
    <x v="149"/>
    <x v="1"/>
    <x v="0"/>
    <x v="3"/>
    <x v="1"/>
    <s v="YES"/>
    <n v="1"/>
    <x v="1"/>
    <x v="0"/>
  </r>
  <r>
    <n v="1152"/>
    <s v="Jeffrey Carter"/>
    <x v="0"/>
    <s v="D04"/>
    <s v="Brand Manager"/>
    <x v="150"/>
    <x v="15"/>
    <x v="1"/>
    <x v="0"/>
    <x v="1"/>
    <s v="NO"/>
    <n v="0"/>
    <x v="0"/>
    <x v="2"/>
  </r>
  <r>
    <n v="1153"/>
    <s v="Larry Mitchell"/>
    <x v="1"/>
    <s v="D01"/>
    <s v="Sales Executive"/>
    <x v="151"/>
    <x v="8"/>
    <x v="1"/>
    <x v="3"/>
    <x v="1"/>
    <s v="YES"/>
    <n v="1"/>
    <x v="1"/>
    <x v="0"/>
  </r>
  <r>
    <n v="1154"/>
    <s v="Shirley Lee"/>
    <x v="1"/>
    <s v="D01"/>
    <s v="Sales Executive"/>
    <x v="152"/>
    <x v="0"/>
    <x v="0"/>
    <x v="0"/>
    <x v="1"/>
    <s v="YES"/>
    <n v="1"/>
    <x v="1"/>
    <x v="0"/>
  </r>
  <r>
    <n v="1155"/>
    <s v="Jessica Rivera"/>
    <x v="0"/>
    <s v="D01"/>
    <s v="Account Manager"/>
    <x v="153"/>
    <x v="9"/>
    <x v="3"/>
    <x v="1"/>
    <x v="1"/>
    <s v="YES"/>
    <n v="1"/>
    <x v="0"/>
    <x v="0"/>
  </r>
  <r>
    <n v="1156"/>
    <s v="Joseph Baker"/>
    <x v="5"/>
    <s v="D04"/>
    <s v="Brand Manager"/>
    <x v="154"/>
    <x v="1"/>
    <x v="1"/>
    <x v="0"/>
    <x v="1"/>
    <s v="YES"/>
    <n v="1"/>
    <x v="0"/>
    <x v="0"/>
  </r>
  <r>
    <n v="1157"/>
    <s v="Joshua Thompson"/>
    <x v="0"/>
    <s v="D06"/>
    <s v="Support Team Lead"/>
    <x v="155"/>
    <x v="19"/>
    <x v="1"/>
    <x v="0"/>
    <x v="0"/>
    <s v="NO"/>
    <n v="0"/>
    <x v="0"/>
    <x v="2"/>
  </r>
  <r>
    <n v="1158"/>
    <s v="Christopher Miller"/>
    <x v="1"/>
    <s v="D01"/>
    <s v="Account Manager"/>
    <x v="156"/>
    <x v="2"/>
    <x v="3"/>
    <x v="1"/>
    <x v="0"/>
    <s v="NO"/>
    <n v="0"/>
    <x v="2"/>
    <x v="1"/>
  </r>
  <r>
    <n v="1159"/>
    <s v="Daniel Flores"/>
    <x v="5"/>
    <s v="D04"/>
    <s v="Marketing Executive"/>
    <x v="157"/>
    <x v="7"/>
    <x v="3"/>
    <x v="0"/>
    <x v="0"/>
    <s v="NO"/>
    <n v="0"/>
    <x v="2"/>
    <x v="0"/>
  </r>
  <r>
    <n v="1160"/>
    <s v="Emily Roberts"/>
    <x v="2"/>
    <s v="D06"/>
    <s v="Support Executive"/>
    <x v="158"/>
    <x v="8"/>
    <x v="3"/>
    <x v="1"/>
    <x v="1"/>
    <s v="NO"/>
    <n v="0"/>
    <x v="0"/>
    <x v="0"/>
  </r>
  <r>
    <n v="1161"/>
    <s v="Pamela Martin"/>
    <x v="1"/>
    <s v="D01"/>
    <s v="Sales Manager"/>
    <x v="159"/>
    <x v="12"/>
    <x v="1"/>
    <x v="2"/>
    <x v="0"/>
    <s v="NO"/>
    <n v="0"/>
    <x v="2"/>
    <x v="1"/>
  </r>
  <r>
    <n v="1162"/>
    <s v="Patricia Anderson"/>
    <x v="3"/>
    <s v="D02"/>
    <s v="QA Engineer"/>
    <x v="160"/>
    <x v="14"/>
    <x v="1"/>
    <x v="3"/>
    <x v="0"/>
    <s v="NO"/>
    <n v="0"/>
    <x v="0"/>
    <x v="1"/>
  </r>
  <r>
    <n v="1163"/>
    <s v="William Moore"/>
    <x v="1"/>
    <s v="D01"/>
    <s v="Account Manager"/>
    <x v="161"/>
    <x v="12"/>
    <x v="0"/>
    <x v="1"/>
    <x v="1"/>
    <s v="NO"/>
    <n v="0"/>
    <x v="2"/>
    <x v="1"/>
  </r>
  <r>
    <n v="1164"/>
    <s v="Kenneth Miller"/>
    <x v="5"/>
    <s v="D04"/>
    <s v="Content Strategist"/>
    <x v="162"/>
    <x v="0"/>
    <x v="1"/>
    <x v="1"/>
    <x v="0"/>
    <s v="NO"/>
    <n v="0"/>
    <x v="2"/>
    <x v="0"/>
  </r>
  <r>
    <n v="1165"/>
    <s v="Lisa Hall"/>
    <x v="3"/>
    <s v="D02"/>
    <s v="Software Engineer"/>
    <x v="163"/>
    <x v="16"/>
    <x v="1"/>
    <x v="0"/>
    <x v="1"/>
    <s v="NO"/>
    <n v="0"/>
    <x v="2"/>
    <x v="1"/>
  </r>
  <r>
    <n v="1166"/>
    <s v="Betty Martin"/>
    <x v="4"/>
    <s v="D03"/>
    <s v="HR Executive"/>
    <x v="164"/>
    <x v="8"/>
    <x v="1"/>
    <x v="1"/>
    <x v="0"/>
    <s v="NO"/>
    <n v="0"/>
    <x v="0"/>
    <x v="0"/>
  </r>
  <r>
    <n v="1167"/>
    <s v="Sarah King"/>
    <x v="5"/>
    <s v="D04"/>
    <s v="Marketing Executive"/>
    <x v="165"/>
    <x v="6"/>
    <x v="0"/>
    <x v="0"/>
    <x v="1"/>
    <s v="NO"/>
    <n v="0"/>
    <x v="1"/>
    <x v="1"/>
  </r>
  <r>
    <n v="1168"/>
    <s v="Angela Harris"/>
    <x v="1"/>
    <s v="D01"/>
    <s v="Sales Manager"/>
    <x v="166"/>
    <x v="16"/>
    <x v="0"/>
    <x v="1"/>
    <x v="0"/>
    <s v="NO"/>
    <n v="0"/>
    <x v="2"/>
    <x v="1"/>
  </r>
  <r>
    <n v="1169"/>
    <s v="Linda Flores"/>
    <x v="5"/>
    <s v="D04"/>
    <s v="Content Strategist"/>
    <x v="167"/>
    <x v="12"/>
    <x v="0"/>
    <x v="1"/>
    <x v="0"/>
    <s v="NO"/>
    <n v="0"/>
    <x v="2"/>
    <x v="1"/>
  </r>
  <r>
    <n v="1170"/>
    <s v="Paul Davis"/>
    <x v="1"/>
    <s v="D01"/>
    <s v="Sales Manager"/>
    <x v="168"/>
    <x v="2"/>
    <x v="0"/>
    <x v="1"/>
    <x v="0"/>
    <s v="YES"/>
    <n v="1"/>
    <x v="0"/>
    <x v="1"/>
  </r>
  <r>
    <n v="1171"/>
    <s v="Betty White"/>
    <x v="0"/>
    <s v="D05"/>
    <s v="Accountant"/>
    <x v="169"/>
    <x v="11"/>
    <x v="2"/>
    <x v="1"/>
    <x v="0"/>
    <s v="YES"/>
    <n v="1"/>
    <x v="0"/>
    <x v="0"/>
  </r>
  <r>
    <n v="1172"/>
    <s v="Betty Martinez"/>
    <x v="2"/>
    <s v="D06"/>
    <s v="Support Team Lead"/>
    <x v="170"/>
    <x v="6"/>
    <x v="1"/>
    <x v="3"/>
    <x v="1"/>
    <s v="YES"/>
    <n v="1"/>
    <x v="2"/>
    <x v="1"/>
  </r>
  <r>
    <n v="1173"/>
    <s v="Jason Harris"/>
    <x v="5"/>
    <s v="D04"/>
    <s v="Marketing Executive"/>
    <x v="171"/>
    <x v="16"/>
    <x v="3"/>
    <x v="1"/>
    <x v="1"/>
    <s v="YES"/>
    <n v="1"/>
    <x v="1"/>
    <x v="1"/>
  </r>
  <r>
    <n v="1174"/>
    <s v="Patricia Anderson"/>
    <x v="2"/>
    <s v="D06"/>
    <s v="Support Team Lead"/>
    <x v="172"/>
    <x v="4"/>
    <x v="1"/>
    <x v="1"/>
    <x v="0"/>
    <s v="NO"/>
    <n v="0"/>
    <x v="0"/>
    <x v="0"/>
  </r>
  <r>
    <n v="1175"/>
    <s v="Donna Brown"/>
    <x v="3"/>
    <s v="D02"/>
    <s v="Senior Engineer"/>
    <x v="173"/>
    <x v="0"/>
    <x v="0"/>
    <x v="0"/>
    <x v="0"/>
    <s v="NO"/>
    <n v="0"/>
    <x v="1"/>
    <x v="0"/>
  </r>
  <r>
    <n v="1176"/>
    <s v="Jonathan Lewis"/>
    <x v="5"/>
    <s v="D04"/>
    <s v="Marketing Executive"/>
    <x v="174"/>
    <x v="1"/>
    <x v="0"/>
    <x v="1"/>
    <x v="0"/>
    <s v="YES"/>
    <n v="1"/>
    <x v="0"/>
    <x v="0"/>
  </r>
  <r>
    <n v="1177"/>
    <s v="Sarah King"/>
    <x v="5"/>
    <s v="D04"/>
    <s v="Marketing Executive"/>
    <x v="175"/>
    <x v="10"/>
    <x v="1"/>
    <x v="2"/>
    <x v="0"/>
    <s v="NO"/>
    <n v="0"/>
    <x v="2"/>
    <x v="0"/>
  </r>
  <r>
    <n v="1178"/>
    <s v="Matthew Young"/>
    <x v="4"/>
    <s v="D03"/>
    <s v="Recruiter"/>
    <x v="176"/>
    <x v="17"/>
    <x v="1"/>
    <x v="1"/>
    <x v="1"/>
    <s v="NO"/>
    <n v="0"/>
    <x v="0"/>
    <x v="2"/>
  </r>
  <r>
    <n v="1179"/>
    <s v="Dorothy Anderson"/>
    <x v="4"/>
    <s v="D03"/>
    <s v="Recruiter"/>
    <x v="177"/>
    <x v="16"/>
    <x v="3"/>
    <x v="1"/>
    <x v="0"/>
    <s v="NO"/>
    <n v="0"/>
    <x v="2"/>
    <x v="1"/>
  </r>
  <r>
    <n v="1180"/>
    <s v="Donald Wright"/>
    <x v="3"/>
    <s v="D02"/>
    <s v="Senior Engineer"/>
    <x v="178"/>
    <x v="5"/>
    <x v="0"/>
    <x v="1"/>
    <x v="1"/>
    <s v="NO"/>
    <n v="0"/>
    <x v="2"/>
    <x v="0"/>
  </r>
  <r>
    <n v="1181"/>
    <s v="Patricia Johnson"/>
    <x v="3"/>
    <s v="D02"/>
    <s v="Senior Engineer"/>
    <x v="179"/>
    <x v="2"/>
    <x v="3"/>
    <x v="1"/>
    <x v="0"/>
    <s v="NO"/>
    <n v="0"/>
    <x v="0"/>
    <x v="1"/>
  </r>
  <r>
    <n v="1182"/>
    <s v="Anthony Wilson"/>
    <x v="1"/>
    <s v="D01"/>
    <s v="Account Manager"/>
    <x v="180"/>
    <x v="13"/>
    <x v="2"/>
    <x v="0"/>
    <x v="1"/>
    <s v="NO"/>
    <n v="0"/>
    <x v="0"/>
    <x v="0"/>
  </r>
  <r>
    <n v="1183"/>
    <s v="Timothy Green"/>
    <x v="0"/>
    <s v="D03"/>
    <s v="Recruiter"/>
    <x v="181"/>
    <x v="2"/>
    <x v="2"/>
    <x v="0"/>
    <x v="1"/>
    <s v="YES"/>
    <n v="1"/>
    <x v="2"/>
    <x v="1"/>
  </r>
  <r>
    <n v="1184"/>
    <s v="Linda Wilson"/>
    <x v="0"/>
    <s v="D06"/>
    <s v="Support Executive"/>
    <x v="182"/>
    <x v="0"/>
    <x v="0"/>
    <x v="3"/>
    <x v="0"/>
    <s v="NO"/>
    <n v="0"/>
    <x v="0"/>
    <x v="0"/>
  </r>
  <r>
    <n v="1185"/>
    <s v="James Perez"/>
    <x v="3"/>
    <s v="D02"/>
    <s v="QA Engineer"/>
    <x v="183"/>
    <x v="0"/>
    <x v="3"/>
    <x v="0"/>
    <x v="1"/>
    <s v="NO"/>
    <n v="0"/>
    <x v="2"/>
    <x v="0"/>
  </r>
  <r>
    <n v="1186"/>
    <s v="Kenneth Robinson"/>
    <x v="2"/>
    <s v="D06"/>
    <s v="Support Executive"/>
    <x v="184"/>
    <x v="5"/>
    <x v="2"/>
    <x v="3"/>
    <x v="1"/>
    <s v="YES"/>
    <n v="1"/>
    <x v="2"/>
    <x v="0"/>
  </r>
  <r>
    <n v="1187"/>
    <s v="Eric Gonzalez"/>
    <x v="4"/>
    <s v="D03"/>
    <s v="Recruiter"/>
    <x v="185"/>
    <x v="11"/>
    <x v="1"/>
    <x v="0"/>
    <x v="0"/>
    <s v="NO"/>
    <n v="0"/>
    <x v="0"/>
    <x v="0"/>
  </r>
  <r>
    <n v="1188"/>
    <s v="James Baker"/>
    <x v="0"/>
    <s v="D05"/>
    <s v="Finance Manager"/>
    <x v="186"/>
    <x v="9"/>
    <x v="1"/>
    <x v="3"/>
    <x v="1"/>
    <s v="NO"/>
    <n v="0"/>
    <x v="0"/>
    <x v="0"/>
  </r>
  <r>
    <n v="1189"/>
    <s v="Dorothy Green"/>
    <x v="0"/>
    <s v="D05"/>
    <s v="Accountant"/>
    <x v="187"/>
    <x v="12"/>
    <x v="0"/>
    <x v="0"/>
    <x v="1"/>
    <s v="NO"/>
    <n v="0"/>
    <x v="1"/>
    <x v="1"/>
  </r>
  <r>
    <n v="1190"/>
    <s v="Susan Martinez"/>
    <x v="5"/>
    <s v="D04"/>
    <s v="Marketing Executive"/>
    <x v="188"/>
    <x v="10"/>
    <x v="0"/>
    <x v="0"/>
    <x v="1"/>
    <s v="NO"/>
    <n v="0"/>
    <x v="1"/>
    <x v="0"/>
  </r>
  <r>
    <n v="1191"/>
    <s v="Nicole Thompson"/>
    <x v="5"/>
    <s v="D04"/>
    <s v="Content Strategist"/>
    <x v="189"/>
    <x v="6"/>
    <x v="0"/>
    <x v="0"/>
    <x v="0"/>
    <s v="NO"/>
    <n v="0"/>
    <x v="0"/>
    <x v="1"/>
  </r>
  <r>
    <n v="1192"/>
    <s v="Carol Nelson"/>
    <x v="0"/>
    <s v="D05"/>
    <s v="Finance Manager"/>
    <x v="190"/>
    <x v="5"/>
    <x v="1"/>
    <x v="3"/>
    <x v="1"/>
    <s v="NO"/>
    <n v="0"/>
    <x v="2"/>
    <x v="0"/>
  </r>
  <r>
    <n v="1193"/>
    <s v="Brandon Hernandez"/>
    <x v="0"/>
    <s v="D06"/>
    <s v="Support Executive"/>
    <x v="191"/>
    <x v="9"/>
    <x v="3"/>
    <x v="0"/>
    <x v="0"/>
    <s v="NO"/>
    <n v="0"/>
    <x v="0"/>
    <x v="0"/>
  </r>
  <r>
    <n v="1194"/>
    <s v="Rebecca Jackson"/>
    <x v="3"/>
    <s v="D02"/>
    <s v="Software Engineer"/>
    <x v="192"/>
    <x v="12"/>
    <x v="1"/>
    <x v="1"/>
    <x v="0"/>
    <s v="NO"/>
    <n v="0"/>
    <x v="2"/>
    <x v="1"/>
  </r>
  <r>
    <n v="1195"/>
    <s v="Angela Ramirez"/>
    <x v="2"/>
    <s v="D06"/>
    <s v="Support Team Lead"/>
    <x v="193"/>
    <x v="16"/>
    <x v="3"/>
    <x v="1"/>
    <x v="0"/>
    <s v="NO"/>
    <n v="0"/>
    <x v="0"/>
    <x v="1"/>
  </r>
  <r>
    <n v="1196"/>
    <s v="Robert Wilson"/>
    <x v="0"/>
    <s v="D03"/>
    <s v="Recruiter"/>
    <x v="194"/>
    <x v="2"/>
    <x v="3"/>
    <x v="1"/>
    <x v="1"/>
    <s v="NO"/>
    <n v="0"/>
    <x v="2"/>
    <x v="1"/>
  </r>
  <r>
    <n v="1197"/>
    <s v="Christopher Flores"/>
    <x v="0"/>
    <s v="D05"/>
    <s v="Accountant"/>
    <x v="195"/>
    <x v="19"/>
    <x v="1"/>
    <x v="0"/>
    <x v="1"/>
    <s v="NO"/>
    <n v="0"/>
    <x v="2"/>
    <x v="2"/>
  </r>
  <r>
    <n v="1198"/>
    <s v="Melissa Miller"/>
    <x v="1"/>
    <s v="D01"/>
    <s v="Sales Manager"/>
    <x v="196"/>
    <x v="15"/>
    <x v="1"/>
    <x v="3"/>
    <x v="1"/>
    <s v="YES"/>
    <n v="1"/>
    <x v="0"/>
    <x v="2"/>
  </r>
  <r>
    <n v="1199"/>
    <s v="Betty Wright"/>
    <x v="3"/>
    <s v="D02"/>
    <s v="Senior Engineer"/>
    <x v="197"/>
    <x v="10"/>
    <x v="0"/>
    <x v="3"/>
    <x v="0"/>
    <s v="NO"/>
    <n v="0"/>
    <x v="2"/>
    <x v="0"/>
  </r>
  <r>
    <n v="1200"/>
    <s v="Emily Lee"/>
    <x v="0"/>
    <s v="D06"/>
    <s v="Support Executive"/>
    <x v="198"/>
    <x v="7"/>
    <x v="0"/>
    <x v="1"/>
    <x v="1"/>
    <s v="NO"/>
    <n v="0"/>
    <x v="1"/>
    <x v="0"/>
  </r>
  <r>
    <n v="1201"/>
    <s v="Scott Hall"/>
    <x v="3"/>
    <s v="D02"/>
    <s v="Senior Engineer"/>
    <x v="199"/>
    <x v="0"/>
    <x v="2"/>
    <x v="1"/>
    <x v="0"/>
    <s v="NO"/>
    <n v="0"/>
    <x v="2"/>
    <x v="0"/>
  </r>
  <r>
    <n v="1202"/>
    <s v="Brenda Miller"/>
    <x v="1"/>
    <s v="D01"/>
    <s v="Sales Executive"/>
    <x v="200"/>
    <x v="7"/>
    <x v="1"/>
    <x v="2"/>
    <x v="1"/>
    <s v="NO"/>
    <n v="0"/>
    <x v="0"/>
    <x v="0"/>
  </r>
  <r>
    <n v="1203"/>
    <s v="Lisa Gonzalez"/>
    <x v="2"/>
    <s v="D06"/>
    <s v="Support Executive"/>
    <x v="201"/>
    <x v="0"/>
    <x v="3"/>
    <x v="0"/>
    <x v="0"/>
    <s v="NO"/>
    <n v="0"/>
    <x v="0"/>
    <x v="0"/>
  </r>
  <r>
    <n v="1204"/>
    <s v="Kevin Brown"/>
    <x v="3"/>
    <s v="D02"/>
    <s v="Software Engineer"/>
    <x v="104"/>
    <x v="4"/>
    <x v="1"/>
    <x v="0"/>
    <x v="0"/>
    <s v="NO"/>
    <n v="0"/>
    <x v="0"/>
    <x v="0"/>
  </r>
  <r>
    <n v="1205"/>
    <s v="Sharon Jones"/>
    <x v="2"/>
    <s v="D06"/>
    <s v="Support Executive"/>
    <x v="202"/>
    <x v="14"/>
    <x v="1"/>
    <x v="0"/>
    <x v="1"/>
    <s v="NO"/>
    <n v="0"/>
    <x v="0"/>
    <x v="1"/>
  </r>
  <r>
    <n v="1206"/>
    <s v="Elizabeth Davis"/>
    <x v="4"/>
    <s v="D03"/>
    <s v="HR Manager"/>
    <x v="203"/>
    <x v="7"/>
    <x v="3"/>
    <x v="1"/>
    <x v="0"/>
    <s v="NO"/>
    <n v="0"/>
    <x v="2"/>
    <x v="0"/>
  </r>
  <r>
    <n v="1207"/>
    <s v="Karen Williams"/>
    <x v="2"/>
    <s v="D06"/>
    <s v="Support Team Lead"/>
    <x v="204"/>
    <x v="1"/>
    <x v="1"/>
    <x v="0"/>
    <x v="0"/>
    <s v="NO"/>
    <n v="0"/>
    <x v="0"/>
    <x v="0"/>
  </r>
  <r>
    <n v="1208"/>
    <s v="Laura Roberts"/>
    <x v="0"/>
    <s v="D05"/>
    <s v="Accountant"/>
    <x v="205"/>
    <x v="2"/>
    <x v="1"/>
    <x v="1"/>
    <x v="0"/>
    <s v="NO"/>
    <n v="0"/>
    <x v="0"/>
    <x v="1"/>
  </r>
  <r>
    <n v="1209"/>
    <s v="George Hall"/>
    <x v="5"/>
    <s v="D04"/>
    <s v="Brand Manager"/>
    <x v="206"/>
    <x v="17"/>
    <x v="2"/>
    <x v="3"/>
    <x v="1"/>
    <s v="YES"/>
    <n v="1"/>
    <x v="0"/>
    <x v="2"/>
  </r>
  <r>
    <n v="1210"/>
    <s v="Karen Adams"/>
    <x v="0"/>
    <s v="D02"/>
    <s v="Senior Engineer"/>
    <x v="207"/>
    <x v="2"/>
    <x v="3"/>
    <x v="0"/>
    <x v="1"/>
    <s v="NO"/>
    <n v="0"/>
    <x v="1"/>
    <x v="1"/>
  </r>
  <r>
    <n v="1211"/>
    <s v="Deborah Lopez"/>
    <x v="4"/>
    <s v="D03"/>
    <s v="HR Executive"/>
    <x v="208"/>
    <x v="17"/>
    <x v="2"/>
    <x v="0"/>
    <x v="1"/>
    <s v="YES"/>
    <n v="1"/>
    <x v="0"/>
    <x v="2"/>
  </r>
  <r>
    <n v="1212"/>
    <s v="Donald Wilson"/>
    <x v="0"/>
    <s v="D02"/>
    <s v="Software Engineer"/>
    <x v="209"/>
    <x v="1"/>
    <x v="0"/>
    <x v="1"/>
    <x v="0"/>
    <s v="NO"/>
    <n v="0"/>
    <x v="2"/>
    <x v="0"/>
  </r>
  <r>
    <n v="1213"/>
    <s v="Timothy Robinson"/>
    <x v="0"/>
    <s v="D05"/>
    <s v="Accountant"/>
    <x v="210"/>
    <x v="0"/>
    <x v="1"/>
    <x v="0"/>
    <x v="1"/>
    <s v="YES"/>
    <n v="1"/>
    <x v="2"/>
    <x v="0"/>
  </r>
  <r>
    <n v="1214"/>
    <s v="Nancy Miller"/>
    <x v="3"/>
    <s v="D02"/>
    <s v="Software Engineer"/>
    <x v="211"/>
    <x v="4"/>
    <x v="0"/>
    <x v="1"/>
    <x v="0"/>
    <s v="NO"/>
    <n v="0"/>
    <x v="0"/>
    <x v="0"/>
  </r>
  <r>
    <n v="1215"/>
    <s v="Mark Sanchez"/>
    <x v="4"/>
    <s v="D03"/>
    <s v="HR Manager"/>
    <x v="212"/>
    <x v="8"/>
    <x v="0"/>
    <x v="3"/>
    <x v="1"/>
    <s v="NO"/>
    <n v="0"/>
    <x v="2"/>
    <x v="0"/>
  </r>
  <r>
    <n v="1216"/>
    <s v="Sarah Hall"/>
    <x v="0"/>
    <s v="D05"/>
    <s v="Finance Manager"/>
    <x v="213"/>
    <x v="19"/>
    <x v="1"/>
    <x v="2"/>
    <x v="1"/>
    <s v="NO"/>
    <n v="0"/>
    <x v="2"/>
    <x v="2"/>
  </r>
  <r>
    <n v="1217"/>
    <s v="Nancy Brown"/>
    <x v="2"/>
    <s v="D06"/>
    <s v="Support Executive"/>
    <x v="214"/>
    <x v="0"/>
    <x v="3"/>
    <x v="2"/>
    <x v="1"/>
    <s v="NO"/>
    <n v="0"/>
    <x v="2"/>
    <x v="0"/>
  </r>
  <r>
    <n v="1218"/>
    <s v="Jessica Brown"/>
    <x v="1"/>
    <s v="D01"/>
    <s v="Sales Executive"/>
    <x v="215"/>
    <x v="4"/>
    <x v="0"/>
    <x v="0"/>
    <x v="1"/>
    <s v="NO"/>
    <n v="0"/>
    <x v="0"/>
    <x v="0"/>
  </r>
  <r>
    <n v="1219"/>
    <s v="Mark Moore"/>
    <x v="4"/>
    <s v="D03"/>
    <s v="HR Manager"/>
    <x v="216"/>
    <x v="0"/>
    <x v="3"/>
    <x v="1"/>
    <x v="0"/>
    <s v="NO"/>
    <n v="0"/>
    <x v="1"/>
    <x v="0"/>
  </r>
  <r>
    <n v="1220"/>
    <s v="Nicholas Wilson"/>
    <x v="1"/>
    <s v="D01"/>
    <s v="Sales Manager"/>
    <x v="217"/>
    <x v="10"/>
    <x v="1"/>
    <x v="0"/>
    <x v="0"/>
    <s v="NO"/>
    <n v="0"/>
    <x v="2"/>
    <x v="0"/>
  </r>
  <r>
    <n v="1221"/>
    <s v="Sharon Robinson"/>
    <x v="0"/>
    <s v="D01"/>
    <s v="Sales Executive"/>
    <x v="218"/>
    <x v="11"/>
    <x v="2"/>
    <x v="0"/>
    <x v="1"/>
    <s v="YES"/>
    <n v="1"/>
    <x v="0"/>
    <x v="0"/>
  </r>
  <r>
    <n v="1222"/>
    <s v="Betty Lewis"/>
    <x v="0"/>
    <s v="D02"/>
    <s v="Senior Engineer"/>
    <x v="219"/>
    <x v="18"/>
    <x v="1"/>
    <x v="1"/>
    <x v="0"/>
    <s v="YES"/>
    <n v="1"/>
    <x v="0"/>
    <x v="2"/>
  </r>
  <r>
    <n v="1223"/>
    <s v="Brenda Brown"/>
    <x v="4"/>
    <s v="D03"/>
    <s v="HR Manager"/>
    <x v="220"/>
    <x v="7"/>
    <x v="0"/>
    <x v="1"/>
    <x v="0"/>
    <s v="NO"/>
    <n v="0"/>
    <x v="2"/>
    <x v="0"/>
  </r>
  <r>
    <n v="1224"/>
    <s v="Mark Martin"/>
    <x v="2"/>
    <s v="D06"/>
    <s v="Support Team Lead"/>
    <x v="221"/>
    <x v="11"/>
    <x v="0"/>
    <x v="0"/>
    <x v="1"/>
    <s v="NO"/>
    <n v="0"/>
    <x v="0"/>
    <x v="0"/>
  </r>
  <r>
    <n v="1225"/>
    <s v="Mary Smith"/>
    <x v="3"/>
    <s v="D02"/>
    <s v="Senior Engineer"/>
    <x v="222"/>
    <x v="4"/>
    <x v="1"/>
    <x v="0"/>
    <x v="1"/>
    <s v="NO"/>
    <n v="0"/>
    <x v="0"/>
    <x v="0"/>
  </r>
  <r>
    <n v="1226"/>
    <s v="William Martin"/>
    <x v="5"/>
    <s v="D04"/>
    <s v="Brand Manager"/>
    <x v="223"/>
    <x v="2"/>
    <x v="3"/>
    <x v="2"/>
    <x v="1"/>
    <s v="NO"/>
    <n v="0"/>
    <x v="0"/>
    <x v="1"/>
  </r>
  <r>
    <n v="1227"/>
    <s v="Laura Taylor"/>
    <x v="4"/>
    <s v="D03"/>
    <s v="HR Manager"/>
    <x v="224"/>
    <x v="4"/>
    <x v="1"/>
    <x v="1"/>
    <x v="0"/>
    <s v="NO"/>
    <n v="0"/>
    <x v="2"/>
    <x v="0"/>
  </r>
  <r>
    <n v="1228"/>
    <s v="Timothy White"/>
    <x v="3"/>
    <s v="D02"/>
    <s v="QA Engineer"/>
    <x v="225"/>
    <x v="4"/>
    <x v="3"/>
    <x v="0"/>
    <x v="1"/>
    <s v="NO"/>
    <n v="0"/>
    <x v="1"/>
    <x v="0"/>
  </r>
  <r>
    <n v="1229"/>
    <s v="Jason Jones"/>
    <x v="2"/>
    <s v="D06"/>
    <s v="Support Team Lead"/>
    <x v="226"/>
    <x v="1"/>
    <x v="2"/>
    <x v="3"/>
    <x v="1"/>
    <s v="NO"/>
    <n v="0"/>
    <x v="2"/>
    <x v="0"/>
  </r>
  <r>
    <n v="1230"/>
    <s v="Scott Thomas"/>
    <x v="0"/>
    <s v="D05"/>
    <s v="Financial Analyst"/>
    <x v="227"/>
    <x v="11"/>
    <x v="0"/>
    <x v="1"/>
    <x v="1"/>
    <s v="NO"/>
    <n v="0"/>
    <x v="2"/>
    <x v="0"/>
  </r>
  <r>
    <n v="1231"/>
    <s v="Susan Lopez"/>
    <x v="0"/>
    <s v="D02"/>
    <s v="Senior Engineer"/>
    <x v="228"/>
    <x v="9"/>
    <x v="0"/>
    <x v="1"/>
    <x v="1"/>
    <s v="NO"/>
    <n v="0"/>
    <x v="0"/>
    <x v="0"/>
  </r>
  <r>
    <n v="1232"/>
    <s v="David Thomas"/>
    <x v="4"/>
    <s v="D03"/>
    <s v="HR Manager"/>
    <x v="229"/>
    <x v="16"/>
    <x v="0"/>
    <x v="3"/>
    <x v="0"/>
    <s v="NO"/>
    <n v="0"/>
    <x v="0"/>
    <x v="1"/>
  </r>
  <r>
    <n v="1233"/>
    <s v="Joshua Garcia"/>
    <x v="5"/>
    <s v="D04"/>
    <s v="Content Strategist"/>
    <x v="230"/>
    <x v="2"/>
    <x v="3"/>
    <x v="1"/>
    <x v="0"/>
    <s v="NO"/>
    <n v="0"/>
    <x v="1"/>
    <x v="1"/>
  </r>
  <r>
    <n v="1234"/>
    <s v="John Green"/>
    <x v="5"/>
    <s v="D04"/>
    <s v="Marketing Executive"/>
    <x v="231"/>
    <x v="5"/>
    <x v="1"/>
    <x v="3"/>
    <x v="0"/>
    <s v="NO"/>
    <n v="0"/>
    <x v="0"/>
    <x v="0"/>
  </r>
  <r>
    <n v="1235"/>
    <s v="Kimberly Nelson"/>
    <x v="5"/>
    <s v="D04"/>
    <s v="Brand Manager"/>
    <x v="232"/>
    <x v="3"/>
    <x v="2"/>
    <x v="1"/>
    <x v="0"/>
    <s v="YES"/>
    <n v="1"/>
    <x v="2"/>
    <x v="2"/>
  </r>
  <r>
    <n v="1236"/>
    <s v="Laura Johnson"/>
    <x v="5"/>
    <s v="D04"/>
    <s v="Marketing Executive"/>
    <x v="233"/>
    <x v="12"/>
    <x v="3"/>
    <x v="3"/>
    <x v="1"/>
    <s v="NO"/>
    <n v="0"/>
    <x v="2"/>
    <x v="1"/>
  </r>
  <r>
    <n v="1237"/>
    <s v="Gary Hall"/>
    <x v="4"/>
    <s v="D03"/>
    <s v="HR Executive"/>
    <x v="234"/>
    <x v="12"/>
    <x v="3"/>
    <x v="0"/>
    <x v="0"/>
    <s v="NO"/>
    <n v="0"/>
    <x v="0"/>
    <x v="1"/>
  </r>
  <r>
    <n v="1238"/>
    <s v="Emily Nelson"/>
    <x v="0"/>
    <s v="D05"/>
    <s v="Accountant"/>
    <x v="235"/>
    <x v="12"/>
    <x v="2"/>
    <x v="0"/>
    <x v="1"/>
    <s v="NO"/>
    <n v="0"/>
    <x v="0"/>
    <x v="1"/>
  </r>
  <r>
    <n v="1239"/>
    <s v="Joshua Green"/>
    <x v="3"/>
    <s v="D02"/>
    <s v="Senior Engineer"/>
    <x v="236"/>
    <x v="8"/>
    <x v="3"/>
    <x v="1"/>
    <x v="0"/>
    <s v="NO"/>
    <n v="0"/>
    <x v="0"/>
    <x v="0"/>
  </r>
  <r>
    <n v="1240"/>
    <s v="Brian Martinez"/>
    <x v="4"/>
    <s v="D03"/>
    <s v="HR Executive"/>
    <x v="237"/>
    <x v="9"/>
    <x v="1"/>
    <x v="1"/>
    <x v="0"/>
    <s v="NO"/>
    <n v="0"/>
    <x v="0"/>
    <x v="0"/>
  </r>
  <r>
    <n v="1241"/>
    <s v="Charles Young"/>
    <x v="4"/>
    <s v="D03"/>
    <s v="HR Executive"/>
    <x v="238"/>
    <x v="20"/>
    <x v="2"/>
    <x v="3"/>
    <x v="1"/>
    <s v="NO"/>
    <n v="0"/>
    <x v="1"/>
    <x v="2"/>
  </r>
  <r>
    <n v="1242"/>
    <s v="Lisa Rodriguez"/>
    <x v="1"/>
    <s v="D01"/>
    <s v="Account Manager"/>
    <x v="156"/>
    <x v="10"/>
    <x v="2"/>
    <x v="3"/>
    <x v="0"/>
    <s v="NO"/>
    <n v="0"/>
    <x v="2"/>
    <x v="0"/>
  </r>
  <r>
    <n v="1243"/>
    <s v="David Rodriguez"/>
    <x v="5"/>
    <s v="D04"/>
    <s v="Marketing Executive"/>
    <x v="239"/>
    <x v="16"/>
    <x v="0"/>
    <x v="0"/>
    <x v="0"/>
    <s v="NO"/>
    <n v="0"/>
    <x v="1"/>
    <x v="1"/>
  </r>
  <r>
    <n v="1244"/>
    <s v="Barbara Davis"/>
    <x v="4"/>
    <s v="D03"/>
    <s v="HR Manager"/>
    <x v="240"/>
    <x v="1"/>
    <x v="2"/>
    <x v="0"/>
    <x v="1"/>
    <s v="NO"/>
    <n v="0"/>
    <x v="1"/>
    <x v="0"/>
  </r>
  <r>
    <n v="1245"/>
    <s v="Thomas Jackson"/>
    <x v="0"/>
    <s v="D05"/>
    <s v="Accountant"/>
    <x v="241"/>
    <x v="5"/>
    <x v="0"/>
    <x v="1"/>
    <x v="1"/>
    <s v="NO"/>
    <n v="0"/>
    <x v="0"/>
    <x v="0"/>
  </r>
  <r>
    <n v="1246"/>
    <s v="Barbara Green"/>
    <x v="0"/>
    <s v="D05"/>
    <s v="Finance Manager"/>
    <x v="242"/>
    <x v="7"/>
    <x v="3"/>
    <x v="3"/>
    <x v="1"/>
    <s v="NO"/>
    <n v="0"/>
    <x v="0"/>
    <x v="0"/>
  </r>
  <r>
    <n v="1247"/>
    <s v="Steven Harris"/>
    <x v="0"/>
    <s v="D05"/>
    <s v="Finance Manager"/>
    <x v="243"/>
    <x v="6"/>
    <x v="2"/>
    <x v="2"/>
    <x v="0"/>
    <s v="NO"/>
    <n v="0"/>
    <x v="2"/>
    <x v="1"/>
  </r>
  <r>
    <n v="1248"/>
    <s v="Stephen Lee"/>
    <x v="1"/>
    <s v="D01"/>
    <s v="Account Manager"/>
    <x v="244"/>
    <x v="2"/>
    <x v="0"/>
    <x v="0"/>
    <x v="0"/>
    <s v="NO"/>
    <n v="0"/>
    <x v="0"/>
    <x v="1"/>
  </r>
  <r>
    <n v="1249"/>
    <s v="Emily Wright"/>
    <x v="0"/>
    <s v="D05"/>
    <s v="Accountant"/>
    <x v="245"/>
    <x v="17"/>
    <x v="2"/>
    <x v="3"/>
    <x v="1"/>
    <s v="NO"/>
    <n v="0"/>
    <x v="1"/>
    <x v="2"/>
  </r>
  <r>
    <n v="1250"/>
    <s v="Pamela Wright"/>
    <x v="5"/>
    <s v="D04"/>
    <s v="Brand Manager"/>
    <x v="246"/>
    <x v="0"/>
    <x v="0"/>
    <x v="1"/>
    <x v="0"/>
    <s v="NO"/>
    <n v="0"/>
    <x v="0"/>
    <x v="0"/>
  </r>
  <r>
    <n v="1251"/>
    <s v="Betty Martin"/>
    <x v="3"/>
    <s v="D02"/>
    <s v="QA Engineer"/>
    <x v="247"/>
    <x v="10"/>
    <x v="2"/>
    <x v="3"/>
    <x v="1"/>
    <s v="NO"/>
    <n v="0"/>
    <x v="2"/>
    <x v="0"/>
  </r>
  <r>
    <n v="1252"/>
    <s v="Kevin Anderson"/>
    <x v="1"/>
    <s v="D01"/>
    <s v="Account Manager"/>
    <x v="248"/>
    <x v="3"/>
    <x v="2"/>
    <x v="1"/>
    <x v="0"/>
    <s v="YES"/>
    <n v="1"/>
    <x v="0"/>
    <x v="2"/>
  </r>
  <r>
    <n v="1253"/>
    <s v="Emma Taylor"/>
    <x v="4"/>
    <s v="D03"/>
    <s v="Recruiter"/>
    <x v="249"/>
    <x v="18"/>
    <x v="1"/>
    <x v="0"/>
    <x v="0"/>
    <s v="NO"/>
    <n v="0"/>
    <x v="0"/>
    <x v="2"/>
  </r>
  <r>
    <n v="1254"/>
    <s v="Gary Martinez"/>
    <x v="0"/>
    <s v="D05"/>
    <s v="Finance Manager"/>
    <x v="250"/>
    <x v="15"/>
    <x v="1"/>
    <x v="0"/>
    <x v="0"/>
    <s v="NO"/>
    <n v="0"/>
    <x v="2"/>
    <x v="2"/>
  </r>
  <r>
    <n v="1255"/>
    <s v="Mark Hill"/>
    <x v="0"/>
    <s v="D05"/>
    <s v="Finance Manager"/>
    <x v="251"/>
    <x v="16"/>
    <x v="0"/>
    <x v="2"/>
    <x v="1"/>
    <s v="NO"/>
    <n v="0"/>
    <x v="0"/>
    <x v="1"/>
  </r>
  <r>
    <n v="1256"/>
    <s v="Brian Baker"/>
    <x v="0"/>
    <s v="D06"/>
    <s v="Support Executive"/>
    <x v="252"/>
    <x v="3"/>
    <x v="1"/>
    <x v="0"/>
    <x v="1"/>
    <s v="NO"/>
    <n v="0"/>
    <x v="0"/>
    <x v="2"/>
  </r>
  <r>
    <n v="1257"/>
    <s v="Sarah Robinson"/>
    <x v="2"/>
    <s v="D06"/>
    <s v="Support Team Lead"/>
    <x v="253"/>
    <x v="6"/>
    <x v="3"/>
    <x v="1"/>
    <x v="0"/>
    <s v="NO"/>
    <n v="0"/>
    <x v="2"/>
    <x v="1"/>
  </r>
  <r>
    <n v="1258"/>
    <s v="Rebecca Moore"/>
    <x v="0"/>
    <s v="D05"/>
    <s v="Financial Analyst"/>
    <x v="254"/>
    <x v="0"/>
    <x v="0"/>
    <x v="0"/>
    <x v="0"/>
    <s v="NO"/>
    <n v="0"/>
    <x v="0"/>
    <x v="0"/>
  </r>
  <r>
    <n v="1259"/>
    <s v="Anthony Martinez"/>
    <x v="0"/>
    <s v="D03"/>
    <s v="Recruiter"/>
    <x v="255"/>
    <x v="11"/>
    <x v="2"/>
    <x v="3"/>
    <x v="0"/>
    <s v="NO"/>
    <n v="0"/>
    <x v="2"/>
    <x v="0"/>
  </r>
  <r>
    <n v="1260"/>
    <s v="Brenda Carter"/>
    <x v="0"/>
    <s v="D01"/>
    <s v="Sales Manager"/>
    <x v="256"/>
    <x v="2"/>
    <x v="0"/>
    <x v="1"/>
    <x v="0"/>
    <s v="NO"/>
    <n v="0"/>
    <x v="2"/>
    <x v="1"/>
  </r>
  <r>
    <n v="1261"/>
    <s v="Larry Smith"/>
    <x v="2"/>
    <s v="D06"/>
    <s v="Support Team Lead"/>
    <x v="257"/>
    <x v="5"/>
    <x v="0"/>
    <x v="1"/>
    <x v="0"/>
    <s v="NO"/>
    <n v="0"/>
    <x v="1"/>
    <x v="0"/>
  </r>
  <r>
    <n v="1262"/>
    <s v="Jeffrey Nelson"/>
    <x v="3"/>
    <s v="D02"/>
    <s v="Software Engineer"/>
    <x v="258"/>
    <x v="4"/>
    <x v="0"/>
    <x v="0"/>
    <x v="0"/>
    <s v="NO"/>
    <n v="0"/>
    <x v="0"/>
    <x v="0"/>
  </r>
  <r>
    <n v="1263"/>
    <s v="Nicole Johnson"/>
    <x v="4"/>
    <s v="D03"/>
    <s v="HR Executive"/>
    <x v="259"/>
    <x v="11"/>
    <x v="2"/>
    <x v="1"/>
    <x v="0"/>
    <s v="NO"/>
    <n v="0"/>
    <x v="0"/>
    <x v="0"/>
  </r>
  <r>
    <n v="1264"/>
    <s v="Michelle Sanchez"/>
    <x v="1"/>
    <s v="D01"/>
    <s v="Sales Manager"/>
    <x v="260"/>
    <x v="11"/>
    <x v="2"/>
    <x v="0"/>
    <x v="1"/>
    <s v="NO"/>
    <n v="0"/>
    <x v="0"/>
    <x v="0"/>
  </r>
  <r>
    <n v="1265"/>
    <s v="James Baker"/>
    <x v="3"/>
    <s v="D02"/>
    <s v="Software Engineer"/>
    <x v="261"/>
    <x v="6"/>
    <x v="1"/>
    <x v="0"/>
    <x v="0"/>
    <s v="NO"/>
    <n v="0"/>
    <x v="2"/>
    <x v="1"/>
  </r>
  <r>
    <n v="1266"/>
    <s v="Gary Wright"/>
    <x v="4"/>
    <s v="D03"/>
    <s v="HR Executive"/>
    <x v="262"/>
    <x v="9"/>
    <x v="0"/>
    <x v="1"/>
    <x v="0"/>
    <s v="NO"/>
    <n v="0"/>
    <x v="0"/>
    <x v="0"/>
  </r>
  <r>
    <n v="1267"/>
    <s v="Sharon Perez"/>
    <x v="2"/>
    <s v="D06"/>
    <s v="Support Team Lead"/>
    <x v="263"/>
    <x v="2"/>
    <x v="0"/>
    <x v="0"/>
    <x v="0"/>
    <s v="NO"/>
    <n v="0"/>
    <x v="2"/>
    <x v="1"/>
  </r>
  <r>
    <n v="1268"/>
    <s v="Susan Allen"/>
    <x v="2"/>
    <s v="D06"/>
    <s v="Support Team Lead"/>
    <x v="264"/>
    <x v="6"/>
    <x v="1"/>
    <x v="0"/>
    <x v="0"/>
    <s v="NO"/>
    <n v="0"/>
    <x v="2"/>
    <x v="1"/>
  </r>
  <r>
    <n v="1269"/>
    <s v="Brenda Davis"/>
    <x v="5"/>
    <s v="D04"/>
    <s v="Marketing Executive"/>
    <x v="265"/>
    <x v="5"/>
    <x v="0"/>
    <x v="1"/>
    <x v="0"/>
    <s v="NO"/>
    <n v="0"/>
    <x v="0"/>
    <x v="0"/>
  </r>
  <r>
    <n v="1270"/>
    <s v="Linda Thompson"/>
    <x v="0"/>
    <s v="D05"/>
    <s v="Finance Manager"/>
    <x v="266"/>
    <x v="1"/>
    <x v="1"/>
    <x v="1"/>
    <x v="0"/>
    <s v="YES"/>
    <n v="1"/>
    <x v="0"/>
    <x v="0"/>
  </r>
  <r>
    <n v="1271"/>
    <s v="Jeffrey Adams"/>
    <x v="3"/>
    <s v="D02"/>
    <s v="Software Engineer"/>
    <x v="267"/>
    <x v="0"/>
    <x v="0"/>
    <x v="3"/>
    <x v="1"/>
    <s v="NO"/>
    <n v="0"/>
    <x v="2"/>
    <x v="0"/>
  </r>
  <r>
    <n v="1272"/>
    <s v="Sharon Rodriguez"/>
    <x v="0"/>
    <s v="D05"/>
    <s v="Accountant"/>
    <x v="268"/>
    <x v="2"/>
    <x v="2"/>
    <x v="0"/>
    <x v="1"/>
    <s v="NO"/>
    <n v="0"/>
    <x v="0"/>
    <x v="1"/>
  </r>
  <r>
    <n v="1273"/>
    <s v="Jessica Walker"/>
    <x v="5"/>
    <s v="D04"/>
    <s v="Brand Manager"/>
    <x v="97"/>
    <x v="2"/>
    <x v="3"/>
    <x v="0"/>
    <x v="1"/>
    <s v="NO"/>
    <n v="0"/>
    <x v="1"/>
    <x v="1"/>
  </r>
  <r>
    <n v="1274"/>
    <s v="Donald Anderson"/>
    <x v="1"/>
    <s v="D01"/>
    <s v="Account Manager"/>
    <x v="269"/>
    <x v="1"/>
    <x v="2"/>
    <x v="0"/>
    <x v="1"/>
    <s v="NO"/>
    <n v="0"/>
    <x v="0"/>
    <x v="0"/>
  </r>
  <r>
    <n v="1275"/>
    <s v="Gary Lopez"/>
    <x v="4"/>
    <s v="D03"/>
    <s v="HR Executive"/>
    <x v="270"/>
    <x v="16"/>
    <x v="0"/>
    <x v="1"/>
    <x v="0"/>
    <s v="NO"/>
    <n v="0"/>
    <x v="0"/>
    <x v="1"/>
  </r>
  <r>
    <n v="1276"/>
    <s v="Margaret Clark"/>
    <x v="0"/>
    <s v="D05"/>
    <s v="Accountant"/>
    <x v="271"/>
    <x v="10"/>
    <x v="1"/>
    <x v="1"/>
    <x v="0"/>
    <s v="YES"/>
    <n v="1"/>
    <x v="0"/>
    <x v="0"/>
  </r>
  <r>
    <n v="1277"/>
    <s v="Carol Jones"/>
    <x v="2"/>
    <s v="D06"/>
    <s v="Support Team Lead"/>
    <x v="272"/>
    <x v="10"/>
    <x v="0"/>
    <x v="0"/>
    <x v="0"/>
    <s v="NO"/>
    <n v="0"/>
    <x v="0"/>
    <x v="0"/>
  </r>
  <r>
    <n v="1278"/>
    <s v="Jeffrey Perez"/>
    <x v="1"/>
    <s v="D01"/>
    <s v="Account Manager"/>
    <x v="273"/>
    <x v="2"/>
    <x v="3"/>
    <x v="0"/>
    <x v="0"/>
    <s v="YES"/>
    <n v="1"/>
    <x v="1"/>
    <x v="1"/>
  </r>
  <r>
    <n v="1279"/>
    <s v="Elizabeth Green"/>
    <x v="1"/>
    <s v="D01"/>
    <s v="Sales Manager"/>
    <x v="274"/>
    <x v="4"/>
    <x v="1"/>
    <x v="1"/>
    <x v="0"/>
    <s v="YES"/>
    <n v="1"/>
    <x v="0"/>
    <x v="0"/>
  </r>
  <r>
    <n v="1280"/>
    <s v="Jacob Harris"/>
    <x v="5"/>
    <s v="D04"/>
    <s v="Content Strategist"/>
    <x v="275"/>
    <x v="13"/>
    <x v="2"/>
    <x v="1"/>
    <x v="1"/>
    <s v="YES"/>
    <n v="1"/>
    <x v="0"/>
    <x v="0"/>
  </r>
  <r>
    <n v="1281"/>
    <s v="Kevin Jones"/>
    <x v="2"/>
    <s v="D06"/>
    <s v="Support Team Lead"/>
    <x v="276"/>
    <x v="14"/>
    <x v="0"/>
    <x v="1"/>
    <x v="0"/>
    <s v="NO"/>
    <n v="0"/>
    <x v="1"/>
    <x v="1"/>
  </r>
  <r>
    <n v="1282"/>
    <s v="Linda Williams"/>
    <x v="1"/>
    <s v="D01"/>
    <s v="Sales Manager"/>
    <x v="277"/>
    <x v="10"/>
    <x v="0"/>
    <x v="3"/>
    <x v="1"/>
    <s v="NO"/>
    <n v="0"/>
    <x v="0"/>
    <x v="0"/>
  </r>
  <r>
    <n v="1283"/>
    <s v="Andrew Perez"/>
    <x v="5"/>
    <s v="D04"/>
    <s v="Marketing Executive"/>
    <x v="278"/>
    <x v="4"/>
    <x v="3"/>
    <x v="1"/>
    <x v="1"/>
    <s v="NO"/>
    <n v="0"/>
    <x v="0"/>
    <x v="0"/>
  </r>
  <r>
    <n v="1284"/>
    <s v="Larry Nguyen"/>
    <x v="1"/>
    <s v="D01"/>
    <s v="Sales Executive"/>
    <x v="279"/>
    <x v="8"/>
    <x v="3"/>
    <x v="0"/>
    <x v="0"/>
    <s v="NO"/>
    <n v="0"/>
    <x v="2"/>
    <x v="0"/>
  </r>
  <r>
    <n v="1285"/>
    <s v="Sandra Martin"/>
    <x v="0"/>
    <s v="D05"/>
    <s v="Accountant"/>
    <x v="280"/>
    <x v="1"/>
    <x v="1"/>
    <x v="1"/>
    <x v="0"/>
    <s v="NO"/>
    <n v="0"/>
    <x v="1"/>
    <x v="0"/>
  </r>
  <r>
    <n v="1286"/>
    <s v="Daniel Lewis"/>
    <x v="0"/>
    <s v="D05"/>
    <s v="Financial Analyst"/>
    <x v="281"/>
    <x v="8"/>
    <x v="1"/>
    <x v="0"/>
    <x v="1"/>
    <s v="NO"/>
    <n v="0"/>
    <x v="0"/>
    <x v="0"/>
  </r>
  <r>
    <n v="1287"/>
    <s v="Helen Taylor"/>
    <x v="2"/>
    <s v="D06"/>
    <s v="Support Executive"/>
    <x v="282"/>
    <x v="5"/>
    <x v="2"/>
    <x v="1"/>
    <x v="0"/>
    <s v="NO"/>
    <n v="0"/>
    <x v="2"/>
    <x v="0"/>
  </r>
  <r>
    <n v="1288"/>
    <s v="Emma Wright"/>
    <x v="1"/>
    <s v="D01"/>
    <s v="Account Manager"/>
    <x v="283"/>
    <x v="5"/>
    <x v="2"/>
    <x v="1"/>
    <x v="1"/>
    <s v="YES"/>
    <n v="1"/>
    <x v="1"/>
    <x v="0"/>
  </r>
  <r>
    <n v="1289"/>
    <s v="Steven Harris"/>
    <x v="4"/>
    <s v="D03"/>
    <s v="HR Executive"/>
    <x v="284"/>
    <x v="9"/>
    <x v="3"/>
    <x v="1"/>
    <x v="1"/>
    <s v="NO"/>
    <n v="0"/>
    <x v="0"/>
    <x v="0"/>
  </r>
  <r>
    <n v="1290"/>
    <s v="Brenda Torres"/>
    <x v="0"/>
    <s v="D05"/>
    <s v="Accountant"/>
    <x v="285"/>
    <x v="4"/>
    <x v="3"/>
    <x v="1"/>
    <x v="0"/>
    <s v="NO"/>
    <n v="0"/>
    <x v="0"/>
    <x v="0"/>
  </r>
  <r>
    <n v="1291"/>
    <s v="Sandra Ramirez"/>
    <x v="0"/>
    <s v="D04"/>
    <s v="Content Strategist"/>
    <x v="286"/>
    <x v="7"/>
    <x v="3"/>
    <x v="1"/>
    <x v="0"/>
    <s v="NO"/>
    <n v="0"/>
    <x v="0"/>
    <x v="0"/>
  </r>
  <r>
    <n v="1292"/>
    <s v="Kathleen Jones"/>
    <x v="0"/>
    <s v="D05"/>
    <s v="Accountant"/>
    <x v="287"/>
    <x v="11"/>
    <x v="1"/>
    <x v="0"/>
    <x v="1"/>
    <s v="NO"/>
    <n v="0"/>
    <x v="0"/>
    <x v="0"/>
  </r>
  <r>
    <n v="1293"/>
    <s v="Thomas Torres"/>
    <x v="0"/>
    <s v="D05"/>
    <s v="Financial Analyst"/>
    <x v="288"/>
    <x v="16"/>
    <x v="1"/>
    <x v="0"/>
    <x v="1"/>
    <s v="NO"/>
    <n v="0"/>
    <x v="2"/>
    <x v="1"/>
  </r>
  <r>
    <n v="1294"/>
    <s v="Jacob Jones"/>
    <x v="1"/>
    <s v="D01"/>
    <s v="Sales Executive"/>
    <x v="289"/>
    <x v="2"/>
    <x v="0"/>
    <x v="0"/>
    <x v="1"/>
    <s v="NO"/>
    <n v="0"/>
    <x v="1"/>
    <x v="1"/>
  </r>
  <r>
    <n v="1295"/>
    <s v="Kimberly Campbell"/>
    <x v="1"/>
    <s v="D01"/>
    <s v="Sales Manager"/>
    <x v="290"/>
    <x v="1"/>
    <x v="1"/>
    <x v="0"/>
    <x v="1"/>
    <s v="YES"/>
    <n v="1"/>
    <x v="0"/>
    <x v="0"/>
  </r>
  <r>
    <n v="1296"/>
    <s v="Steven Lewis"/>
    <x v="0"/>
    <s v="D02"/>
    <s v="QA Engineer"/>
    <x v="291"/>
    <x v="16"/>
    <x v="3"/>
    <x v="3"/>
    <x v="0"/>
    <s v="NO"/>
    <n v="0"/>
    <x v="2"/>
    <x v="1"/>
  </r>
  <r>
    <n v="1297"/>
    <s v="Christopher Anderson"/>
    <x v="2"/>
    <s v="D06"/>
    <s v="Support Executive"/>
    <x v="292"/>
    <x v="15"/>
    <x v="2"/>
    <x v="1"/>
    <x v="1"/>
    <s v="NO"/>
    <n v="0"/>
    <x v="0"/>
    <x v="2"/>
  </r>
  <r>
    <n v="1298"/>
    <s v="Kevin Thompson"/>
    <x v="0"/>
    <s v="D02"/>
    <s v="QA Engineer"/>
    <x v="293"/>
    <x v="9"/>
    <x v="1"/>
    <x v="0"/>
    <x v="0"/>
    <s v="NO"/>
    <n v="0"/>
    <x v="0"/>
    <x v="0"/>
  </r>
  <r>
    <n v="1299"/>
    <s v="Carol Thomas"/>
    <x v="0"/>
    <s v="D05"/>
    <s v="Accountant"/>
    <x v="294"/>
    <x v="4"/>
    <x v="1"/>
    <x v="2"/>
    <x v="1"/>
    <s v="NO"/>
    <n v="0"/>
    <x v="0"/>
    <x v="0"/>
  </r>
  <r>
    <n v="1300"/>
    <s v="Jason Lopez"/>
    <x v="3"/>
    <s v="D02"/>
    <s v="Software Engineer"/>
    <x v="295"/>
    <x v="7"/>
    <x v="1"/>
    <x v="1"/>
    <x v="0"/>
    <s v="YES"/>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006E8-F8DA-4004-AC48-2274941090D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Bracket">
  <location ref="A64:B68" firstHeaderRow="1" firstDataRow="1" firstDataCol="1"/>
  <pivotFields count="14">
    <pivotField showAll="0"/>
    <pivotField showAll="0"/>
    <pivotField showAll="0">
      <items count="7">
        <item x="2"/>
        <item x="3"/>
        <item x="0"/>
        <item x="4"/>
        <item x="5"/>
        <item x="1"/>
        <item t="default"/>
      </items>
    </pivotField>
    <pivotField showAll="0"/>
    <pivotField showAll="0"/>
    <pivotField showAll="0"/>
    <pivotField showAll="0"/>
    <pivotField showAll="0"/>
    <pivotField showAll="0"/>
    <pivotField showAll="0">
      <items count="3">
        <item x="1"/>
        <item x="0"/>
        <item t="default"/>
      </items>
    </pivotField>
    <pivotField showAll="0"/>
    <pivotField dataField="1" showAll="0"/>
    <pivotField axis="axisRow" showAll="0" sortType="ascending">
      <items count="4">
        <item x="0"/>
        <item x="1"/>
        <item x="2"/>
        <item t="default"/>
      </items>
    </pivotField>
    <pivotField showAll="0"/>
  </pivotFields>
  <rowFields count="1">
    <field x="12"/>
  </rowFields>
  <rowItems count="4">
    <i>
      <x/>
    </i>
    <i>
      <x v="1"/>
    </i>
    <i>
      <x v="2"/>
    </i>
    <i t="grand">
      <x/>
    </i>
  </rowItems>
  <colItems count="1">
    <i/>
  </colItems>
  <dataFields count="1">
    <dataField name="Attrition Rate" fld="11" subtotal="average" baseField="12" baseItem="0"/>
  </dataFields>
  <formats count="1">
    <format dxfId="28">
      <pivotArea collapsedLevelsAreSubtotals="1" fieldPosition="0">
        <references count="1">
          <reference field="12" count="0"/>
        </references>
      </pivotArea>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1"/>
          </reference>
        </references>
      </pivotArea>
    </chartFormat>
    <chartFormat chart="1" format="2">
      <pivotArea type="data" outline="0" fieldPosition="0">
        <references count="2">
          <reference field="4294967294" count="1" selected="0">
            <x v="0"/>
          </reference>
          <reference field="12" count="1" selected="0">
            <x v="2"/>
          </reference>
        </references>
      </pivotArea>
    </chartFormat>
    <chartFormat chart="1" format="3">
      <pivotArea type="data" outline="0" fieldPosition="0">
        <references count="2">
          <reference field="4294967294" count="1" selected="0">
            <x v="0"/>
          </reference>
          <reference field="12"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FE237-5654-4AE2-BA8B-A1A1C6FEF78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raining Completed">
  <location ref="A46:B49" firstHeaderRow="1" firstDataRow="1" firstDataCol="1"/>
  <pivotFields count="14">
    <pivotField showAll="0"/>
    <pivotField showAll="0"/>
    <pivotField showAll="0">
      <items count="7">
        <item x="2"/>
        <item x="3"/>
        <item x="0"/>
        <item x="4"/>
        <item x="5"/>
        <item x="1"/>
        <item t="default"/>
      </items>
    </pivotField>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s>
  <rowFields count="1">
    <field x="9"/>
  </rowFields>
  <rowItems count="3">
    <i>
      <x/>
    </i>
    <i>
      <x v="1"/>
    </i>
    <i t="grand">
      <x/>
    </i>
  </rowItems>
  <colItems count="1">
    <i/>
  </colItems>
  <dataFields count="1">
    <dataField name="Avg Performance Rating" fld="8" subtotal="average" baseField="9" baseItem="0"/>
  </dataFields>
  <formats count="7">
    <format dxfId="35">
      <pivotArea collapsedLevelsAreSubtotals="1" fieldPosition="0">
        <references count="1">
          <reference field="9" count="0"/>
        </references>
      </pivotArea>
    </format>
    <format dxfId="34">
      <pivotArea dataOnly="0" labelOnly="1" outline="0" axis="axisValues" fieldPosition="0"/>
    </format>
    <format dxfId="33">
      <pivotArea field="9" type="button" dataOnly="0" labelOnly="1" outline="0" axis="axisRow" fieldPosition="0"/>
    </format>
    <format dxfId="32">
      <pivotArea field="9" type="button" dataOnly="0" labelOnly="1" outline="0" axis="axisRow" fieldPosition="0"/>
    </format>
    <format dxfId="31">
      <pivotArea dataOnly="0" labelOnly="1" outline="0" axis="axisValues" fieldPosition="0"/>
    </format>
    <format dxfId="30">
      <pivotArea dataOnly="0" labelOnly="1" outline="0" axis="axisValues" fieldPosition="0"/>
    </format>
    <format dxfId="29">
      <pivotArea field="9" type="button" dataOnly="0" labelOnly="1" outline="0"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AAEFCA-5E12-45CF-B7BD-A4EFD8A61399}" name="PivotTable18" cacheId="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29" rowHeaderCaption="Overtime bucket">
  <location ref="A38:B42" firstHeaderRow="1" firstDataRow="1" firstDataCol="1"/>
  <pivotFields count="14">
    <pivotField showAll="0"/>
    <pivotField showAll="0"/>
    <pivotField showAll="0">
      <items count="7">
        <item x="2"/>
        <item x="3"/>
        <item x="0"/>
        <item x="4"/>
        <item x="5"/>
        <item x="1"/>
        <item t="default"/>
      </items>
    </pivotField>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axis="axisRow" showAll="0">
      <items count="4">
        <item x="0"/>
        <item x="1"/>
        <item x="2"/>
        <item t="default"/>
      </items>
    </pivotField>
  </pivotFields>
  <rowFields count="1">
    <field x="13"/>
  </rowFields>
  <rowItems count="4">
    <i>
      <x/>
    </i>
    <i>
      <x v="1"/>
    </i>
    <i>
      <x v="2"/>
    </i>
    <i t="grand">
      <x/>
    </i>
  </rowItems>
  <colItems count="1">
    <i/>
  </colItems>
  <dataFields count="1">
    <dataField name=" Attrition Rate" fld="11" subtotal="average" baseField="13" baseItem="0"/>
  </dataFields>
  <formats count="4">
    <format dxfId="39">
      <pivotArea collapsedLevelsAreSubtotals="1" fieldPosition="0">
        <references count="1">
          <reference field="13" count="0"/>
        </references>
      </pivotArea>
    </format>
    <format dxfId="38">
      <pivotArea dataOnly="0" labelOnly="1" outline="0" axis="axisValues" fieldPosition="0"/>
    </format>
    <format dxfId="37">
      <pivotArea field="13" type="button" dataOnly="0" labelOnly="1" outline="0" axis="axisRow" fieldPosition="0"/>
    </format>
    <format dxfId="36">
      <pivotArea field="13" type="button" dataOnly="0" labelOnly="1" outline="0" axis="axisRow" fieldPosition="0"/>
    </format>
  </formats>
  <chartFormats count="3">
    <chartFormat chart="5"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1C3DF-67E0-4685-8E51-04571406E8C4}" name="PivotTable17" cacheId="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20" rowHeaderCaption="Overtime bucket">
  <location ref="A25:B29" firstHeaderRow="1" firstDataRow="1" firstDataCol="1"/>
  <pivotFields count="14">
    <pivotField showAll="0"/>
    <pivotField showAll="0"/>
    <pivotField showAll="0">
      <items count="7">
        <item x="2"/>
        <item x="3"/>
        <item x="0"/>
        <item x="4"/>
        <item x="5"/>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3"/>
  </rowFields>
  <rowItems count="4">
    <i>
      <x v="1"/>
    </i>
    <i>
      <x/>
    </i>
    <i>
      <x v="2"/>
    </i>
    <i t="grand">
      <x/>
    </i>
  </rowItems>
  <colItems count="1">
    <i/>
  </colItems>
  <dataFields count="1">
    <dataField name="Avg Satisfaction Score" fld="7" subtotal="average" baseField="13" baseItem="1" numFmtId="2"/>
  </dataFields>
  <formats count="5">
    <format dxfId="44">
      <pivotArea field="13" type="button" dataOnly="0" labelOnly="1" outline="0" axis="axisRow" fieldPosition="0"/>
    </format>
    <format dxfId="43">
      <pivotArea dataOnly="0" labelOnly="1" outline="0" axis="axisValues" fieldPosition="0"/>
    </format>
    <format dxfId="42">
      <pivotArea field="13" type="button" dataOnly="0" labelOnly="1" outline="0" axis="axisRow" fieldPosition="0"/>
    </format>
    <format dxfId="41">
      <pivotArea field="13" type="button" dataOnly="0" labelOnly="1" outline="0" axis="axisRow" fieldPosition="0"/>
    </format>
    <format dxfId="40">
      <pivotArea field="13" type="button" dataOnly="0" labelOnly="1" outline="0" axis="axisRow"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7B765-B251-4CEA-AB33-BFAAEC609880}"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5:B12" firstHeaderRow="1" firstDataRow="1" firstDataCol="1"/>
  <pivotFields count="14">
    <pivotField showAll="0"/>
    <pivotField showAll="0"/>
    <pivotField axis="axisRow" outline="0" showAll="0">
      <items count="7">
        <item x="2"/>
        <item x="3"/>
        <item x="0"/>
        <item x="4"/>
        <item x="5"/>
        <item x="1"/>
        <item t="default"/>
      </items>
    </pivotField>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 Attrition Rate                              " fld="11" subtotal="average" baseField="2" baseItem="0" numFmtId="9"/>
  </dataFields>
  <formats count="9">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outline="0" axis="axisValues" fieldPosition="0"/>
    </format>
    <format dxfId="47">
      <pivotArea outline="0" collapsedLevelsAreSubtotals="1" fieldPosition="0"/>
    </format>
    <format dxfId="46">
      <pivotArea outline="0" collapsedLevelsAreSubtotals="1" fieldPosition="0">
        <references count="1">
          <reference field="2" count="1" selected="0">
            <x v="5"/>
          </reference>
        </references>
      </pivotArea>
    </format>
    <format dxfId="45">
      <pivotArea field="2" type="button" dataOnly="0" labelOnly="1" outline="0"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C3309-B2EB-4AA5-9CCD-A1F6A00E081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15:I19" firstHeaderRow="0" firstDataRow="1" firstDataCol="1"/>
  <pivotFields count="14">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axis="axisRow" showAll="0" defaultSubtotal="0">
      <items count="4">
        <item x="2"/>
        <item x="3"/>
        <item x="0"/>
        <item x="1"/>
      </items>
    </pivotField>
    <pivotField showAll="0" defaultSubtotal="0"/>
    <pivotField showAll="0" defaultSubtotal="0"/>
    <pivotField showAll="0" defaultSubtotal="0"/>
    <pivotField showAll="0" defaultSubtotal="0"/>
    <pivotField showAll="0" defaultSubtotal="0"/>
  </pivotFields>
  <rowFields count="1">
    <field x="8"/>
  </rowFields>
  <rowItems count="4">
    <i>
      <x/>
    </i>
    <i>
      <x v="1"/>
    </i>
    <i>
      <x v="2"/>
    </i>
    <i>
      <x v="3"/>
    </i>
  </rowItems>
  <colFields count="1">
    <field x="-2"/>
  </colFields>
  <colItems count="3">
    <i>
      <x/>
    </i>
    <i i="1">
      <x v="1"/>
    </i>
    <i i="2">
      <x v="2"/>
    </i>
  </colItems>
  <dataFields count="3">
    <dataField name="Average of MonthlyIncome" fld="5" subtotal="average" baseField="0" baseItem="0"/>
    <dataField name="StdDev of MonthlyIncome" fld="5" subtotal="stdDev" baseField="0" baseItem="1"/>
    <dataField name="Count of MonthlyIncome" fld="5" subtotal="count" baseField="0" baseItem="1" numFmtId="1"/>
  </dataFields>
  <formats count="13">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outline="0" fieldPosition="0">
        <references count="1">
          <reference field="4294967294" count="3">
            <x v="0"/>
            <x v="1"/>
            <x v="2"/>
          </reference>
        </references>
      </pivotArea>
    </format>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 dxfId="16">
      <pivotArea outline="0" collapsedLevelsAreSubtotals="1" fieldPosition="0">
        <references count="1">
          <reference field="4294967294" count="1" selected="0">
            <x v="1"/>
          </reference>
        </references>
      </pivotArea>
    </format>
    <format dxfId="15">
      <pivotArea dataOnly="0" labelOnly="1" outline="0" fieldPosition="0">
        <references count="1">
          <reference field="4294967294" count="1">
            <x v="1"/>
          </reference>
        </references>
      </pivotArea>
    </format>
    <format dxfId="14">
      <pivotArea dataOnly="0" labelOnly="1" fieldPosition="0">
        <references count="1">
          <reference field="8" count="0"/>
        </references>
      </pivotArea>
    </format>
    <format dxfId="13">
      <pivotArea outline="0" collapsedLevelsAreSubtotals="1" fieldPosition="0"/>
    </format>
    <format dxfId="12">
      <pivotArea outline="0" collapsedLevelsAreSubtotals="1" fieldPosition="0"/>
    </format>
    <format dxfId="11">
      <pivotArea outline="0" collapsedLevelsAreSubtotals="1" fieldPosition="0">
        <references count="1">
          <reference field="4294967294" count="1" selected="0">
            <x v="2"/>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2AD5171-C2E7-4569-BE3D-0A5CB66423A4}" sourceName="Department">
  <pivotTables>
    <pivotTable tabId="5" name="PivotTable17"/>
    <pivotTable tabId="5" name="PivotTable18"/>
    <pivotTable tabId="5" name="PivotTable20"/>
    <pivotTable tabId="5" name="PivotTable21"/>
    <pivotTable tabId="5" name="PivotTable24"/>
  </pivotTables>
  <data>
    <tabular pivotCacheId="648306122">
      <items count="6">
        <i x="2" s="1"/>
        <i x="3" s="1"/>
        <i x="0"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Completed" xr10:uid="{C22B1BAB-EA3B-4D95-B165-8231F76BFECA}" sourceName="TrainingCompleted">
  <pivotTables>
    <pivotTable tabId="5" name="PivotTable17"/>
    <pivotTable tabId="5" name="PivotTable18"/>
    <pivotTable tabId="5" name="PivotTable20"/>
    <pivotTable tabId="5" name="PivotTable21"/>
    <pivotTable tabId="5" name="PivotTable24"/>
  </pivotTables>
  <data>
    <tabular pivotCacheId="6483061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1C847A3-89E4-4FBE-9853-CBA51D66B993}" cache="Slicer_Department" caption="Department" rowHeight="234950"/>
  <slicer name="TrainingCompleted" xr10:uid="{237681F7-F21A-4848-85EF-B57847F1CC2D}" cache="Slicer_TrainingCompleted" caption="TrainingComplet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18ADCF-AD5B-4AC6-92BD-59261CDC3251}" name="Table4" displayName="Table4" ref="A1:B7" totalsRowShown="0" headerRowDxfId="27" dataDxfId="26">
  <autoFilter ref="A1:B7" xr:uid="{2418ADCF-AD5B-4AC6-92BD-59261CDC3251}"/>
  <tableColumns count="2">
    <tableColumn id="1" xr3:uid="{ABB836A8-41A6-40B5-9776-DABD358C19DB}" name="DeptCode" dataDxfId="25"/>
    <tableColumn id="2" xr3:uid="{EBB968D8-6F7B-4912-917E-DE5B2D03E376}" name="DepartmentName" dataDxfId="24"/>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9D7EC-C600-4F1D-B69B-5F1750D4C173}" name="Table1" displayName="Table1" ref="A6:C9" totalsRowShown="0">
  <autoFilter ref="A6:C9" xr:uid="{FB49D7EC-C600-4F1D-B69B-5F1750D4C173}"/>
  <tableColumns count="3">
    <tableColumn id="1" xr3:uid="{ACB9B642-B5DD-46F6-BCDB-DADBCAB1E2BE}" name="Condition" dataDxfId="10"/>
    <tableColumn id="2" xr3:uid="{7EE5F46B-294A-477F-BF5E-E73EF45C5370}" name="Value" dataDxfId="9"/>
    <tableColumn id="3" xr3:uid="{7FD4D3CC-4920-4458-A8EE-2E7EC77BDD89}" name="Interpretation"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F7713D-D0A3-445F-903C-41BF630F00C1}" name="Table2" displayName="Table2" ref="A11:D311" totalsRowShown="0" headerRowDxfId="7">
  <autoFilter ref="A11:D311" xr:uid="{3DF7713D-D0A3-445F-903C-41BF630F00C1}"/>
  <tableColumns count="4">
    <tableColumn id="1" xr3:uid="{78E6897B-5B3F-4B49-B27A-F9DE8A3BF40F}" name="PerformanceRating" dataDxfId="6"/>
    <tableColumn id="2" xr3:uid="{BDE7C6F6-DD8B-460E-9581-9F4F68214A68}" name="TrainingCompleted" dataDxfId="5"/>
    <tableColumn id="3" xr3:uid="{4EEE46F7-356B-4FBB-9F60-3A56A14D57C3}" name="TrainedPerformance" dataDxfId="4">
      <calculatedColumnFormula>IF(B12="YES",A12,"")</calculatedColumnFormula>
    </tableColumn>
    <tableColumn id="4" xr3:uid="{5AD39F7D-DA97-4B9A-87AA-F6136F1320F0}" name="UntrainedPerformance" dataDxfId="3">
      <calculatedColumnFormula>IF(B12="NO",A12,"")</calculatedColumnFormula>
    </tableColumn>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27E69B-8393-4003-9F70-32A2C45247BC}" name="Table3" displayName="Table3" ref="F11:G13" totalsRowShown="0" tableBorderDxfId="2">
  <autoFilter ref="F11:G13" xr:uid="{FE27E69B-8393-4003-9F70-32A2C45247BC}"/>
  <tableColumns count="2">
    <tableColumn id="1" xr3:uid="{C6B2BBDC-D067-4751-9AB7-F2C2CCABF66B}" name="T Test" dataDxfId="1"/>
    <tableColumn id="2" xr3:uid="{C6067F6D-19D3-4640-8060-D64C999D6B95}" name="Interpretation"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6.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7"/>
  <sheetViews>
    <sheetView workbookViewId="0">
      <pane ySplit="1" topLeftCell="A2" activePane="bottomLeft" state="frozen"/>
      <selection pane="bottomLeft" sqref="A1:K1048576"/>
    </sheetView>
  </sheetViews>
  <sheetFormatPr defaultRowHeight="14.4"/>
  <cols>
    <col min="1" max="1" width="12.88671875" bestFit="1" customWidth="1"/>
    <col min="2" max="2" width="21.88671875" bestFit="1" customWidth="1"/>
    <col min="3" max="3" width="23.109375" bestFit="1" customWidth="1"/>
    <col min="4" max="4" width="10.6640625" bestFit="1" customWidth="1"/>
    <col min="5" max="5" width="17.33203125" bestFit="1" customWidth="1"/>
    <col min="6" max="6" width="16.109375" bestFit="1" customWidth="1"/>
    <col min="7" max="7" width="16" bestFit="1" customWidth="1"/>
    <col min="8" max="8" width="18.21875" bestFit="1" customWidth="1"/>
    <col min="9" max="9" width="20" bestFit="1" customWidth="1"/>
    <col min="10" max="10" width="19.77734375" bestFit="1" customWidth="1"/>
    <col min="11" max="11" width="9.109375" bestFit="1" customWidth="1"/>
  </cols>
  <sheetData>
    <row r="1" spans="1:11">
      <c r="A1" s="1" t="s">
        <v>0</v>
      </c>
      <c r="B1" s="1" t="s">
        <v>1</v>
      </c>
      <c r="C1" s="1" t="s">
        <v>2</v>
      </c>
      <c r="D1" s="1" t="s">
        <v>3</v>
      </c>
      <c r="E1" s="1" t="s">
        <v>4</v>
      </c>
      <c r="F1" s="1" t="s">
        <v>5</v>
      </c>
      <c r="G1" s="1" t="s">
        <v>6</v>
      </c>
      <c r="H1" s="1" t="s">
        <v>7</v>
      </c>
      <c r="I1" s="1" t="s">
        <v>8</v>
      </c>
      <c r="J1" s="1" t="s">
        <v>9</v>
      </c>
      <c r="K1" s="1" t="s">
        <v>10</v>
      </c>
    </row>
    <row r="2" spans="1:11">
      <c r="A2" s="2">
        <v>1103</v>
      </c>
      <c r="B2" s="2" t="s">
        <v>11</v>
      </c>
      <c r="C2" s="2" t="s">
        <v>12</v>
      </c>
      <c r="D2" s="2" t="s">
        <v>13</v>
      </c>
      <c r="E2" s="2" t="s">
        <v>14</v>
      </c>
      <c r="F2" s="2">
        <v>5605</v>
      </c>
      <c r="G2" s="2">
        <v>11</v>
      </c>
      <c r="H2" s="2">
        <v>2</v>
      </c>
      <c r="I2" s="2">
        <v>3</v>
      </c>
      <c r="J2" s="2" t="s">
        <v>15</v>
      </c>
      <c r="K2" s="2" t="s">
        <v>16</v>
      </c>
    </row>
    <row r="3" spans="1:11">
      <c r="A3" s="2">
        <v>1292</v>
      </c>
      <c r="B3" s="2" t="s">
        <v>17</v>
      </c>
      <c r="C3" s="2" t="s">
        <v>18</v>
      </c>
      <c r="D3" s="2" t="s">
        <v>19</v>
      </c>
      <c r="E3" s="2" t="s">
        <v>20</v>
      </c>
      <c r="F3" s="2">
        <v>11485</v>
      </c>
      <c r="G3" s="2">
        <v>13</v>
      </c>
      <c r="H3" s="2">
        <v>2</v>
      </c>
      <c r="I3" s="2">
        <v>3</v>
      </c>
      <c r="J3" s="2" t="s">
        <v>21</v>
      </c>
      <c r="K3" s="2" t="s">
        <v>22</v>
      </c>
    </row>
    <row r="4" spans="1:11">
      <c r="A4" s="2">
        <v>1225</v>
      </c>
      <c r="B4" s="2" t="s">
        <v>23</v>
      </c>
      <c r="C4" s="2" t="s">
        <v>24</v>
      </c>
      <c r="D4" s="2" t="s">
        <v>25</v>
      </c>
      <c r="E4" s="2" t="s">
        <v>26</v>
      </c>
      <c r="F4" s="2">
        <v>9911</v>
      </c>
      <c r="G4" s="2">
        <v>5</v>
      </c>
      <c r="H4" s="2">
        <v>2</v>
      </c>
      <c r="I4" s="2">
        <v>3</v>
      </c>
      <c r="J4" s="2" t="s">
        <v>21</v>
      </c>
      <c r="K4" s="2" t="s">
        <v>21</v>
      </c>
    </row>
    <row r="5" spans="1:11">
      <c r="A5" s="2">
        <v>1129</v>
      </c>
      <c r="B5" s="2" t="s">
        <v>27</v>
      </c>
      <c r="C5" s="2" t="s">
        <v>28</v>
      </c>
      <c r="D5" s="2" t="s">
        <v>29</v>
      </c>
      <c r="E5" s="2" t="s">
        <v>30</v>
      </c>
      <c r="F5" s="2">
        <v>7871</v>
      </c>
      <c r="G5" s="2">
        <v>12</v>
      </c>
      <c r="H5" s="2">
        <v>3</v>
      </c>
      <c r="I5" s="2">
        <v>4</v>
      </c>
      <c r="J5" s="2" t="s">
        <v>31</v>
      </c>
      <c r="K5" s="2" t="s">
        <v>21</v>
      </c>
    </row>
    <row r="6" spans="1:11">
      <c r="A6" s="2">
        <v>1246</v>
      </c>
      <c r="B6" s="2" t="s">
        <v>32</v>
      </c>
      <c r="C6" s="2" t="s">
        <v>33</v>
      </c>
      <c r="D6" s="2" t="s">
        <v>19</v>
      </c>
      <c r="E6" s="2" t="s">
        <v>34</v>
      </c>
      <c r="F6" s="2">
        <v>14038</v>
      </c>
      <c r="G6" s="2">
        <v>7</v>
      </c>
      <c r="H6" s="2">
        <v>4</v>
      </c>
      <c r="I6" s="2">
        <v>2</v>
      </c>
      <c r="J6" s="2" t="s">
        <v>35</v>
      </c>
      <c r="K6" s="2" t="s">
        <v>22</v>
      </c>
    </row>
    <row r="7" spans="1:11">
      <c r="A7" s="2">
        <v>1214</v>
      </c>
      <c r="B7" s="2" t="s">
        <v>36</v>
      </c>
      <c r="C7" s="2" t="s">
        <v>37</v>
      </c>
      <c r="D7" s="2" t="s">
        <v>25</v>
      </c>
      <c r="E7" s="2" t="s">
        <v>38</v>
      </c>
      <c r="F7" s="2">
        <v>9149</v>
      </c>
      <c r="G7" s="2">
        <v>5</v>
      </c>
      <c r="H7" s="2">
        <v>3</v>
      </c>
      <c r="I7" s="2">
        <v>4</v>
      </c>
      <c r="J7" s="2" t="s">
        <v>39</v>
      </c>
      <c r="K7" s="2" t="s">
        <v>22</v>
      </c>
    </row>
    <row r="8" spans="1:11">
      <c r="A8" s="2">
        <v>1081</v>
      </c>
      <c r="B8" s="2" t="s">
        <v>40</v>
      </c>
      <c r="C8" s="2" t="s">
        <v>24</v>
      </c>
      <c r="D8" s="2" t="s">
        <v>25</v>
      </c>
      <c r="E8" s="2" t="s">
        <v>38</v>
      </c>
      <c r="F8" s="2">
        <v>11195</v>
      </c>
      <c r="G8" s="2">
        <v>0</v>
      </c>
      <c r="H8" s="2">
        <v>3</v>
      </c>
      <c r="I8" s="2">
        <v>2</v>
      </c>
      <c r="J8" s="2" t="s">
        <v>41</v>
      </c>
      <c r="K8" s="2" t="s">
        <v>42</v>
      </c>
    </row>
    <row r="9" spans="1:11">
      <c r="A9" s="2">
        <v>1122</v>
      </c>
      <c r="B9" s="2" t="s">
        <v>43</v>
      </c>
      <c r="C9" s="2" t="s">
        <v>12</v>
      </c>
      <c r="D9" s="2" t="s">
        <v>13</v>
      </c>
      <c r="E9" s="2" t="s">
        <v>44</v>
      </c>
      <c r="F9" s="2">
        <v>3091</v>
      </c>
      <c r="G9" s="2">
        <v>17</v>
      </c>
      <c r="H9" s="2">
        <v>1</v>
      </c>
      <c r="I9" s="2">
        <v>3</v>
      </c>
      <c r="J9" s="2" t="s">
        <v>45</v>
      </c>
      <c r="K9" s="2" t="s">
        <v>31</v>
      </c>
    </row>
    <row r="10" spans="1:11">
      <c r="A10" s="2">
        <v>1212</v>
      </c>
      <c r="B10" s="2" t="s">
        <v>46</v>
      </c>
      <c r="C10" s="2"/>
      <c r="D10" s="2" t="s">
        <v>25</v>
      </c>
      <c r="E10" s="2" t="s">
        <v>38</v>
      </c>
      <c r="F10" s="2">
        <v>8238</v>
      </c>
      <c r="G10" s="2">
        <v>10</v>
      </c>
      <c r="H10" s="2">
        <v>3</v>
      </c>
      <c r="I10" s="2">
        <v>4</v>
      </c>
      <c r="J10" s="2" t="s">
        <v>31</v>
      </c>
      <c r="K10" s="2" t="s">
        <v>22</v>
      </c>
    </row>
    <row r="11" spans="1:11">
      <c r="A11" s="2">
        <v>1051</v>
      </c>
      <c r="B11" s="2" t="s">
        <v>47</v>
      </c>
      <c r="C11" s="2" t="s">
        <v>48</v>
      </c>
      <c r="D11" s="2" t="s">
        <v>49</v>
      </c>
      <c r="E11" s="2" t="s">
        <v>50</v>
      </c>
      <c r="F11" s="2">
        <v>11728</v>
      </c>
      <c r="G11" s="2">
        <v>2</v>
      </c>
      <c r="H11" s="2">
        <v>4</v>
      </c>
      <c r="I11" s="2">
        <v>4</v>
      </c>
      <c r="J11" s="2" t="s">
        <v>51</v>
      </c>
      <c r="K11" s="2" t="s">
        <v>22</v>
      </c>
    </row>
    <row r="12" spans="1:11">
      <c r="A12" s="2">
        <v>1180</v>
      </c>
      <c r="B12" s="2" t="s">
        <v>52</v>
      </c>
      <c r="C12" s="2" t="s">
        <v>53</v>
      </c>
      <c r="D12" s="2" t="s">
        <v>25</v>
      </c>
      <c r="E12" s="2" t="s">
        <v>26</v>
      </c>
      <c r="F12" s="2">
        <v>5078</v>
      </c>
      <c r="G12" s="2">
        <v>11</v>
      </c>
      <c r="H12" s="2">
        <v>3</v>
      </c>
      <c r="I12" s="2">
        <v>4</v>
      </c>
      <c r="J12" s="2" t="s">
        <v>22</v>
      </c>
      <c r="K12" s="2" t="s">
        <v>22</v>
      </c>
    </row>
    <row r="13" spans="1:11">
      <c r="A13" s="2">
        <v>1136</v>
      </c>
      <c r="B13" s="2" t="s">
        <v>54</v>
      </c>
      <c r="C13" s="2" t="s">
        <v>55</v>
      </c>
      <c r="D13" s="2" t="s">
        <v>56</v>
      </c>
      <c r="E13" s="2" t="s">
        <v>57</v>
      </c>
      <c r="F13" s="2">
        <v>6602</v>
      </c>
      <c r="G13" s="2">
        <v>6</v>
      </c>
      <c r="H13" s="2">
        <v>2</v>
      </c>
      <c r="I13" s="2">
        <v>3</v>
      </c>
      <c r="J13" s="2" t="s">
        <v>22</v>
      </c>
      <c r="K13" s="2" t="s">
        <v>51</v>
      </c>
    </row>
    <row r="14" spans="1:11">
      <c r="A14" s="2">
        <v>1091</v>
      </c>
      <c r="B14" s="2" t="s">
        <v>58</v>
      </c>
      <c r="C14" s="2"/>
      <c r="D14" s="2" t="s">
        <v>56</v>
      </c>
      <c r="E14" s="2" t="s">
        <v>59</v>
      </c>
      <c r="F14" s="2">
        <v>11205</v>
      </c>
      <c r="G14" s="2">
        <v>17</v>
      </c>
      <c r="H14" s="2">
        <v>2</v>
      </c>
      <c r="I14" s="2">
        <v>1</v>
      </c>
      <c r="J14" s="2" t="s">
        <v>41</v>
      </c>
      <c r="K14" s="2" t="s">
        <v>41</v>
      </c>
    </row>
    <row r="15" spans="1:11">
      <c r="A15" s="2">
        <v>1179</v>
      </c>
      <c r="B15" s="2" t="s">
        <v>60</v>
      </c>
      <c r="C15" s="2" t="s">
        <v>61</v>
      </c>
      <c r="D15" s="2" t="s">
        <v>49</v>
      </c>
      <c r="E15" s="2" t="s">
        <v>62</v>
      </c>
      <c r="F15" s="2">
        <v>8581</v>
      </c>
      <c r="G15" s="2">
        <v>4</v>
      </c>
      <c r="H15" s="2">
        <v>4</v>
      </c>
      <c r="I15" s="2">
        <v>4</v>
      </c>
      <c r="J15" s="2" t="s">
        <v>51</v>
      </c>
      <c r="K15" s="2" t="s">
        <v>63</v>
      </c>
    </row>
    <row r="16" spans="1:11">
      <c r="A16" s="2">
        <v>1204</v>
      </c>
      <c r="B16" s="2" t="s">
        <v>64</v>
      </c>
      <c r="C16" s="2" t="s">
        <v>65</v>
      </c>
      <c r="D16" s="2" t="s">
        <v>25</v>
      </c>
      <c r="E16" s="2" t="s">
        <v>38</v>
      </c>
      <c r="F16" s="2">
        <v>13770</v>
      </c>
      <c r="G16" s="2">
        <v>5</v>
      </c>
      <c r="H16" s="2">
        <v>2</v>
      </c>
      <c r="I16" s="2">
        <v>3</v>
      </c>
      <c r="J16" s="2" t="s">
        <v>66</v>
      </c>
      <c r="K16" s="2" t="s">
        <v>67</v>
      </c>
    </row>
    <row r="17" spans="1:11">
      <c r="A17" s="2">
        <v>1160</v>
      </c>
      <c r="B17" s="2" t="s">
        <v>68</v>
      </c>
      <c r="C17" s="2" t="s">
        <v>69</v>
      </c>
      <c r="D17" s="2" t="s">
        <v>29</v>
      </c>
      <c r="E17" s="2" t="s">
        <v>30</v>
      </c>
      <c r="F17" s="2">
        <v>10089</v>
      </c>
      <c r="G17" s="2">
        <v>9</v>
      </c>
      <c r="H17" s="2">
        <v>4</v>
      </c>
      <c r="I17" s="2">
        <v>4</v>
      </c>
      <c r="J17" s="2" t="s">
        <v>41</v>
      </c>
      <c r="K17" s="2" t="s">
        <v>35</v>
      </c>
    </row>
    <row r="18" spans="1:11">
      <c r="A18" s="2">
        <v>1210</v>
      </c>
      <c r="B18" s="2" t="s">
        <v>70</v>
      </c>
      <c r="C18" s="2"/>
      <c r="D18" s="2" t="s">
        <v>25</v>
      </c>
      <c r="E18" s="2" t="s">
        <v>26</v>
      </c>
      <c r="F18" s="2">
        <v>3401</v>
      </c>
      <c r="G18" s="2">
        <v>0</v>
      </c>
      <c r="H18" s="2">
        <v>4</v>
      </c>
      <c r="I18" s="2">
        <v>3</v>
      </c>
      <c r="J18" s="2" t="s">
        <v>71</v>
      </c>
      <c r="K18" s="2" t="s">
        <v>22</v>
      </c>
    </row>
    <row r="19" spans="1:11">
      <c r="A19" s="2">
        <v>1297</v>
      </c>
      <c r="B19" s="2" t="s">
        <v>72</v>
      </c>
      <c r="C19" s="2" t="s">
        <v>73</v>
      </c>
      <c r="D19" s="2" t="s">
        <v>29</v>
      </c>
      <c r="E19" s="2" t="s">
        <v>30</v>
      </c>
      <c r="F19" s="2">
        <v>9167</v>
      </c>
      <c r="G19" s="2">
        <v>15</v>
      </c>
      <c r="H19" s="2">
        <v>1</v>
      </c>
      <c r="I19" s="2">
        <v>4</v>
      </c>
      <c r="J19" s="2" t="s">
        <v>67</v>
      </c>
      <c r="K19" s="2" t="s">
        <v>74</v>
      </c>
    </row>
    <row r="20" spans="1:11">
      <c r="A20" s="2">
        <v>1137</v>
      </c>
      <c r="B20" s="2" t="s">
        <v>75</v>
      </c>
      <c r="C20" s="2" t="s">
        <v>76</v>
      </c>
      <c r="D20" s="2" t="s">
        <v>13</v>
      </c>
      <c r="E20" s="2" t="s">
        <v>14</v>
      </c>
      <c r="F20" s="2">
        <v>3067</v>
      </c>
      <c r="G20" s="2">
        <v>19</v>
      </c>
      <c r="H20" s="2">
        <v>1</v>
      </c>
      <c r="I20" s="2">
        <v>2</v>
      </c>
      <c r="J20" s="2" t="s">
        <v>31</v>
      </c>
      <c r="K20" s="2" t="s">
        <v>42</v>
      </c>
    </row>
    <row r="21" spans="1:11">
      <c r="A21" s="2">
        <v>1138</v>
      </c>
      <c r="B21" s="2" t="s">
        <v>77</v>
      </c>
      <c r="C21" s="2"/>
      <c r="D21" s="2" t="s">
        <v>49</v>
      </c>
      <c r="E21" s="2" t="s">
        <v>78</v>
      </c>
      <c r="F21" s="2">
        <v>6473</v>
      </c>
      <c r="G21" s="2">
        <v>4</v>
      </c>
      <c r="H21" s="2">
        <v>3</v>
      </c>
      <c r="I21" s="2">
        <v>4</v>
      </c>
      <c r="J21" s="2" t="s">
        <v>41</v>
      </c>
      <c r="K21" s="2" t="s">
        <v>22</v>
      </c>
    </row>
    <row r="22" spans="1:11">
      <c r="A22" s="2">
        <v>1273</v>
      </c>
      <c r="B22" s="2" t="s">
        <v>79</v>
      </c>
      <c r="C22" s="2" t="s">
        <v>12</v>
      </c>
      <c r="D22" s="2" t="s">
        <v>13</v>
      </c>
      <c r="E22" s="2" t="s">
        <v>14</v>
      </c>
      <c r="F22" s="2">
        <v>4080</v>
      </c>
      <c r="G22" s="2">
        <v>0</v>
      </c>
      <c r="H22" s="2">
        <v>4</v>
      </c>
      <c r="I22" s="2">
        <v>3</v>
      </c>
      <c r="J22" s="2" t="s">
        <v>22</v>
      </c>
      <c r="K22" s="2" t="s">
        <v>71</v>
      </c>
    </row>
    <row r="23" spans="1:11">
      <c r="A23" s="2">
        <v>1083</v>
      </c>
      <c r="B23" s="2" t="s">
        <v>80</v>
      </c>
      <c r="C23" s="2" t="s">
        <v>81</v>
      </c>
      <c r="D23" s="2" t="s">
        <v>49</v>
      </c>
      <c r="E23" s="2" t="s">
        <v>62</v>
      </c>
      <c r="F23" s="2">
        <v>12750</v>
      </c>
      <c r="G23" s="2">
        <v>16</v>
      </c>
      <c r="H23" s="2">
        <v>2</v>
      </c>
      <c r="I23" s="2">
        <v>3</v>
      </c>
      <c r="J23" s="2" t="s">
        <v>51</v>
      </c>
      <c r="K23" s="2" t="s">
        <v>22</v>
      </c>
    </row>
    <row r="24" spans="1:11">
      <c r="A24" s="2">
        <v>1151</v>
      </c>
      <c r="B24" s="2" t="s">
        <v>82</v>
      </c>
      <c r="C24" s="2" t="s">
        <v>83</v>
      </c>
      <c r="D24" s="2" t="s">
        <v>56</v>
      </c>
      <c r="E24" s="2" t="s">
        <v>57</v>
      </c>
      <c r="F24" s="2">
        <v>3508</v>
      </c>
      <c r="G24" s="2">
        <v>10</v>
      </c>
      <c r="H24" s="2">
        <v>3</v>
      </c>
      <c r="I24" s="2">
        <v>2</v>
      </c>
      <c r="J24" s="2" t="s">
        <v>22</v>
      </c>
      <c r="K24" s="2" t="s">
        <v>39</v>
      </c>
    </row>
    <row r="25" spans="1:11">
      <c r="A25" s="2">
        <v>1221</v>
      </c>
      <c r="B25" s="2" t="s">
        <v>84</v>
      </c>
      <c r="C25" s="2"/>
      <c r="D25" s="2" t="s">
        <v>56</v>
      </c>
      <c r="E25" s="2" t="s">
        <v>85</v>
      </c>
      <c r="F25" s="2">
        <v>9549</v>
      </c>
      <c r="G25" s="2">
        <v>13</v>
      </c>
      <c r="H25" s="2">
        <v>1</v>
      </c>
      <c r="I25" s="2">
        <v>3</v>
      </c>
      <c r="J25" s="2" t="s">
        <v>16</v>
      </c>
      <c r="K25" s="2" t="s">
        <v>31</v>
      </c>
    </row>
    <row r="26" spans="1:11">
      <c r="A26" s="2">
        <v>1153</v>
      </c>
      <c r="B26" s="2" t="s">
        <v>86</v>
      </c>
      <c r="C26" s="2" t="s">
        <v>87</v>
      </c>
      <c r="D26" s="2" t="s">
        <v>56</v>
      </c>
      <c r="E26" s="2" t="s">
        <v>85</v>
      </c>
      <c r="F26" s="2">
        <v>2815</v>
      </c>
      <c r="G26" s="2">
        <v>9</v>
      </c>
      <c r="H26" s="2">
        <v>2</v>
      </c>
      <c r="I26" s="2">
        <v>2</v>
      </c>
      <c r="J26" s="2" t="s">
        <v>22</v>
      </c>
      <c r="K26" s="2" t="s">
        <v>88</v>
      </c>
    </row>
    <row r="27" spans="1:11">
      <c r="A27" s="2">
        <v>1040</v>
      </c>
      <c r="B27" s="2" t="s">
        <v>89</v>
      </c>
      <c r="C27" s="2" t="s">
        <v>90</v>
      </c>
      <c r="D27" s="2" t="s">
        <v>29</v>
      </c>
      <c r="E27" s="2" t="s">
        <v>30</v>
      </c>
      <c r="F27" s="2">
        <v>3466</v>
      </c>
      <c r="G27" s="2">
        <v>3</v>
      </c>
      <c r="H27" s="2">
        <v>3</v>
      </c>
      <c r="I27" s="2">
        <v>4</v>
      </c>
      <c r="J27" s="2" t="s">
        <v>31</v>
      </c>
      <c r="K27" s="2" t="s">
        <v>67</v>
      </c>
    </row>
    <row r="28" spans="1:11">
      <c r="A28" s="2">
        <v>1086</v>
      </c>
      <c r="B28" s="2" t="s">
        <v>91</v>
      </c>
      <c r="C28" s="2"/>
      <c r="D28" s="2" t="s">
        <v>56</v>
      </c>
      <c r="E28" s="2" t="s">
        <v>59</v>
      </c>
      <c r="F28" s="2">
        <v>12056</v>
      </c>
      <c r="G28" s="2">
        <v>13</v>
      </c>
      <c r="H28" s="2">
        <v>2</v>
      </c>
      <c r="I28" s="2">
        <v>4</v>
      </c>
      <c r="J28" s="2" t="s">
        <v>92</v>
      </c>
      <c r="K28" s="2" t="s">
        <v>22</v>
      </c>
    </row>
    <row r="29" spans="1:11">
      <c r="A29" s="2">
        <v>1089</v>
      </c>
      <c r="B29" s="2" t="s">
        <v>93</v>
      </c>
      <c r="C29" s="2" t="s">
        <v>65</v>
      </c>
      <c r="D29" s="2" t="s">
        <v>25</v>
      </c>
      <c r="E29" s="2" t="s">
        <v>38</v>
      </c>
      <c r="F29" s="2">
        <v>5642</v>
      </c>
      <c r="G29" s="2">
        <v>10</v>
      </c>
      <c r="H29" s="2">
        <v>1</v>
      </c>
      <c r="I29" s="2">
        <v>3</v>
      </c>
      <c r="J29" s="2" t="s">
        <v>21</v>
      </c>
      <c r="K29" s="2" t="s">
        <v>22</v>
      </c>
    </row>
    <row r="30" spans="1:11">
      <c r="A30" s="2">
        <v>1198</v>
      </c>
      <c r="B30" s="2" t="s">
        <v>94</v>
      </c>
      <c r="C30" s="2" t="s">
        <v>83</v>
      </c>
      <c r="D30" s="2" t="s">
        <v>56</v>
      </c>
      <c r="E30" s="2" t="s">
        <v>57</v>
      </c>
      <c r="F30" s="2">
        <v>9021</v>
      </c>
      <c r="G30" s="2">
        <v>15</v>
      </c>
      <c r="H30" s="2">
        <v>2</v>
      </c>
      <c r="I30" s="2">
        <v>2</v>
      </c>
      <c r="J30" s="2" t="s">
        <v>22</v>
      </c>
      <c r="K30" s="2" t="s">
        <v>95</v>
      </c>
    </row>
    <row r="31" spans="1:11">
      <c r="A31" s="2">
        <v>1152</v>
      </c>
      <c r="B31" s="2" t="s">
        <v>96</v>
      </c>
      <c r="C31" s="2"/>
      <c r="D31" s="2" t="s">
        <v>13</v>
      </c>
      <c r="E31" s="2" t="s">
        <v>14</v>
      </c>
      <c r="F31" s="2">
        <v>13824</v>
      </c>
      <c r="G31" s="2">
        <v>15</v>
      </c>
      <c r="H31" s="2">
        <v>2</v>
      </c>
      <c r="I31" s="2">
        <v>3</v>
      </c>
      <c r="J31" s="2" t="s">
        <v>22</v>
      </c>
      <c r="K31" s="2" t="s">
        <v>22</v>
      </c>
    </row>
    <row r="32" spans="1:11">
      <c r="A32" s="2">
        <v>1226</v>
      </c>
      <c r="B32" s="2" t="s">
        <v>97</v>
      </c>
      <c r="C32" s="2" t="s">
        <v>12</v>
      </c>
      <c r="D32" s="2" t="s">
        <v>13</v>
      </c>
      <c r="E32" s="2" t="s">
        <v>14</v>
      </c>
      <c r="F32" s="2">
        <v>11013</v>
      </c>
      <c r="G32" s="2">
        <v>0</v>
      </c>
      <c r="H32" s="2">
        <v>4</v>
      </c>
      <c r="I32" s="2">
        <v>1</v>
      </c>
      <c r="J32" s="2" t="s">
        <v>22</v>
      </c>
      <c r="K32" s="2" t="s">
        <v>21</v>
      </c>
    </row>
    <row r="33" spans="1:11">
      <c r="A33" s="2">
        <v>1295</v>
      </c>
      <c r="B33" s="2" t="s">
        <v>98</v>
      </c>
      <c r="C33" s="2" t="s">
        <v>99</v>
      </c>
      <c r="D33" s="2" t="s">
        <v>56</v>
      </c>
      <c r="E33" s="2" t="s">
        <v>57</v>
      </c>
      <c r="F33" s="2">
        <v>12542</v>
      </c>
      <c r="G33" s="2">
        <v>10</v>
      </c>
      <c r="H33" s="2">
        <v>2</v>
      </c>
      <c r="I33" s="2">
        <v>3</v>
      </c>
      <c r="J33" s="2" t="s">
        <v>22</v>
      </c>
      <c r="K33" s="2" t="s">
        <v>45</v>
      </c>
    </row>
    <row r="34" spans="1:11">
      <c r="A34" s="2">
        <v>1101</v>
      </c>
      <c r="B34" s="2" t="s">
        <v>100</v>
      </c>
      <c r="C34" s="2" t="s">
        <v>101</v>
      </c>
      <c r="D34" s="2" t="s">
        <v>29</v>
      </c>
      <c r="E34" s="2" t="s">
        <v>102</v>
      </c>
      <c r="F34" s="2">
        <v>12057</v>
      </c>
      <c r="G34" s="2">
        <v>0</v>
      </c>
      <c r="H34" s="2">
        <v>3</v>
      </c>
      <c r="I34" s="2">
        <v>2</v>
      </c>
      <c r="J34" s="2" t="s">
        <v>103</v>
      </c>
      <c r="K34" s="2" t="s">
        <v>21</v>
      </c>
    </row>
    <row r="35" spans="1:11">
      <c r="A35" s="2">
        <v>1158</v>
      </c>
      <c r="B35" s="2" t="s">
        <v>104</v>
      </c>
      <c r="C35" s="2" t="s">
        <v>83</v>
      </c>
      <c r="D35" s="2" t="s">
        <v>56</v>
      </c>
      <c r="E35" s="2" t="s">
        <v>59</v>
      </c>
      <c r="F35" s="2">
        <v>4796</v>
      </c>
      <c r="G35" s="2">
        <v>0</v>
      </c>
      <c r="H35" s="2">
        <v>4</v>
      </c>
      <c r="I35" s="2">
        <v>4</v>
      </c>
      <c r="J35" s="2" t="s">
        <v>31</v>
      </c>
      <c r="K35" s="2" t="s">
        <v>22</v>
      </c>
    </row>
    <row r="36" spans="1:11">
      <c r="A36" s="2">
        <v>1068</v>
      </c>
      <c r="B36" s="2" t="s">
        <v>105</v>
      </c>
      <c r="C36" s="2" t="s">
        <v>48</v>
      </c>
      <c r="D36" s="2" t="s">
        <v>49</v>
      </c>
      <c r="E36" s="2" t="s">
        <v>50</v>
      </c>
      <c r="F36" s="2">
        <v>11093</v>
      </c>
      <c r="G36" s="2">
        <v>1</v>
      </c>
      <c r="H36" s="2">
        <v>3</v>
      </c>
      <c r="I36" s="2">
        <v>2</v>
      </c>
      <c r="J36" s="2" t="s">
        <v>31</v>
      </c>
      <c r="K36" s="2" t="s">
        <v>21</v>
      </c>
    </row>
    <row r="37" spans="1:11">
      <c r="A37" s="2">
        <v>1281</v>
      </c>
      <c r="B37" s="2" t="s">
        <v>106</v>
      </c>
      <c r="C37" s="2" t="s">
        <v>101</v>
      </c>
      <c r="D37" s="2" t="s">
        <v>29</v>
      </c>
      <c r="E37" s="2" t="s">
        <v>102</v>
      </c>
      <c r="F37" s="2">
        <v>2824</v>
      </c>
      <c r="G37" s="2">
        <v>1</v>
      </c>
      <c r="H37" s="2">
        <v>3</v>
      </c>
      <c r="I37" s="2">
        <v>4</v>
      </c>
      <c r="J37" s="2" t="s">
        <v>107</v>
      </c>
      <c r="K37" s="2" t="s">
        <v>21</v>
      </c>
    </row>
    <row r="38" spans="1:11">
      <c r="A38" s="2">
        <v>1172</v>
      </c>
      <c r="B38" s="2" t="s">
        <v>108</v>
      </c>
      <c r="C38" s="2" t="s">
        <v>101</v>
      </c>
      <c r="D38" s="2" t="s">
        <v>29</v>
      </c>
      <c r="E38" s="2" t="s">
        <v>102</v>
      </c>
      <c r="F38" s="2">
        <v>7035</v>
      </c>
      <c r="G38" s="2">
        <v>2</v>
      </c>
      <c r="H38" s="2">
        <v>2</v>
      </c>
      <c r="I38" s="2">
        <v>2</v>
      </c>
      <c r="J38" s="2" t="s">
        <v>42</v>
      </c>
      <c r="K38" s="2" t="s">
        <v>109</v>
      </c>
    </row>
    <row r="39" spans="1:11">
      <c r="A39" s="2">
        <v>1001</v>
      </c>
      <c r="B39" s="2" t="s">
        <v>110</v>
      </c>
      <c r="C39" s="2" t="s">
        <v>111</v>
      </c>
      <c r="D39" s="2" t="s">
        <v>19</v>
      </c>
      <c r="E39" s="2" t="s">
        <v>112</v>
      </c>
      <c r="F39" s="2">
        <v>11113</v>
      </c>
      <c r="G39" s="2">
        <v>8</v>
      </c>
      <c r="H39" s="2">
        <v>3</v>
      </c>
      <c r="I39" s="2">
        <v>3</v>
      </c>
      <c r="J39" s="2" t="s">
        <v>66</v>
      </c>
      <c r="K39" s="2" t="s">
        <v>22</v>
      </c>
    </row>
    <row r="40" spans="1:11">
      <c r="A40" s="2">
        <v>1049</v>
      </c>
      <c r="B40" s="2" t="s">
        <v>113</v>
      </c>
      <c r="C40" s="2"/>
      <c r="D40" s="2" t="s">
        <v>56</v>
      </c>
      <c r="E40" s="2" t="s">
        <v>57</v>
      </c>
      <c r="F40" s="2">
        <v>3311</v>
      </c>
      <c r="G40" s="2">
        <v>0</v>
      </c>
      <c r="H40" s="2">
        <v>3</v>
      </c>
      <c r="I40" s="2">
        <v>3</v>
      </c>
      <c r="J40" s="2" t="s">
        <v>114</v>
      </c>
      <c r="K40" s="2" t="s">
        <v>115</v>
      </c>
    </row>
    <row r="41" spans="1:11">
      <c r="A41" s="2">
        <v>1141</v>
      </c>
      <c r="B41" s="2" t="s">
        <v>116</v>
      </c>
      <c r="C41" s="2" t="s">
        <v>117</v>
      </c>
      <c r="D41" s="2" t="s">
        <v>13</v>
      </c>
      <c r="E41" s="2" t="s">
        <v>14</v>
      </c>
      <c r="F41" s="2">
        <v>4181</v>
      </c>
      <c r="G41" s="2">
        <v>11</v>
      </c>
      <c r="H41" s="2">
        <v>2</v>
      </c>
      <c r="I41" s="2">
        <v>3</v>
      </c>
      <c r="J41" s="2" t="s">
        <v>41</v>
      </c>
      <c r="K41" s="2" t="s">
        <v>41</v>
      </c>
    </row>
    <row r="42" spans="1:11">
      <c r="A42" s="2">
        <v>1096</v>
      </c>
      <c r="B42" s="2" t="s">
        <v>118</v>
      </c>
      <c r="C42" s="2"/>
      <c r="D42" s="2" t="s">
        <v>49</v>
      </c>
      <c r="E42" s="2" t="s">
        <v>62</v>
      </c>
      <c r="F42" s="2">
        <v>4732</v>
      </c>
      <c r="G42" s="2">
        <v>1</v>
      </c>
      <c r="H42" s="2">
        <v>3</v>
      </c>
      <c r="I42" s="2">
        <v>2</v>
      </c>
      <c r="J42" s="2" t="s">
        <v>22</v>
      </c>
      <c r="K42" s="2" t="s">
        <v>35</v>
      </c>
    </row>
    <row r="43" spans="1:11">
      <c r="A43" s="2">
        <v>1052</v>
      </c>
      <c r="B43" s="2" t="s">
        <v>119</v>
      </c>
      <c r="C43" s="2" t="s">
        <v>120</v>
      </c>
      <c r="D43" s="2" t="s">
        <v>29</v>
      </c>
      <c r="E43" s="2" t="s">
        <v>30</v>
      </c>
      <c r="F43" s="2">
        <v>5355</v>
      </c>
      <c r="G43" s="2">
        <v>7</v>
      </c>
      <c r="H43" s="2">
        <v>4</v>
      </c>
      <c r="I43" s="2">
        <v>3</v>
      </c>
      <c r="J43" s="2" t="s">
        <v>21</v>
      </c>
      <c r="K43" s="2" t="s">
        <v>21</v>
      </c>
    </row>
    <row r="44" spans="1:11">
      <c r="A44" s="2">
        <v>1082</v>
      </c>
      <c r="B44" s="2" t="s">
        <v>121</v>
      </c>
      <c r="C44" s="2" t="s">
        <v>122</v>
      </c>
      <c r="D44" s="2" t="s">
        <v>25</v>
      </c>
      <c r="E44" s="2" t="s">
        <v>26</v>
      </c>
      <c r="F44" s="2">
        <v>8321</v>
      </c>
      <c r="G44" s="2">
        <v>3</v>
      </c>
      <c r="H44" s="2">
        <v>4</v>
      </c>
      <c r="I44" s="2">
        <v>3</v>
      </c>
      <c r="J44" s="2" t="s">
        <v>51</v>
      </c>
      <c r="K44" s="2" t="s">
        <v>22</v>
      </c>
    </row>
    <row r="45" spans="1:11">
      <c r="A45" s="2">
        <v>1024</v>
      </c>
      <c r="B45" s="2" t="s">
        <v>123</v>
      </c>
      <c r="C45" s="2" t="s">
        <v>33</v>
      </c>
      <c r="D45" s="2" t="s">
        <v>19</v>
      </c>
      <c r="E45" s="2" t="s">
        <v>112</v>
      </c>
      <c r="F45" s="2">
        <v>5597</v>
      </c>
      <c r="G45" s="2">
        <v>9</v>
      </c>
      <c r="H45" s="2">
        <v>3</v>
      </c>
      <c r="I45" s="2">
        <v>3</v>
      </c>
      <c r="J45" s="2" t="s">
        <v>51</v>
      </c>
      <c r="K45" s="2" t="s">
        <v>124</v>
      </c>
    </row>
    <row r="46" spans="1:11">
      <c r="A46" s="2">
        <v>1175</v>
      </c>
      <c r="B46" s="2" t="s">
        <v>125</v>
      </c>
      <c r="C46" s="2" t="s">
        <v>24</v>
      </c>
      <c r="D46" s="2" t="s">
        <v>25</v>
      </c>
      <c r="E46" s="2" t="s">
        <v>26</v>
      </c>
      <c r="F46" s="2">
        <v>3295</v>
      </c>
      <c r="G46" s="2">
        <v>8</v>
      </c>
      <c r="H46" s="2">
        <v>3</v>
      </c>
      <c r="I46" s="2">
        <v>3</v>
      </c>
      <c r="J46" s="2" t="s">
        <v>66</v>
      </c>
      <c r="K46" s="2" t="s">
        <v>21</v>
      </c>
    </row>
    <row r="47" spans="1:11">
      <c r="A47" s="2">
        <v>1203</v>
      </c>
      <c r="B47" s="2" t="s">
        <v>126</v>
      </c>
      <c r="C47" s="2" t="s">
        <v>127</v>
      </c>
      <c r="D47" s="2" t="s">
        <v>29</v>
      </c>
      <c r="E47" s="2" t="s">
        <v>30</v>
      </c>
      <c r="F47" s="2">
        <v>9740</v>
      </c>
      <c r="G47" s="2">
        <v>8</v>
      </c>
      <c r="H47" s="2">
        <v>4</v>
      </c>
      <c r="I47" s="2">
        <v>3</v>
      </c>
      <c r="J47" s="2" t="s">
        <v>31</v>
      </c>
      <c r="K47" s="2" t="s">
        <v>42</v>
      </c>
    </row>
    <row r="48" spans="1:11">
      <c r="A48" s="2">
        <v>1161</v>
      </c>
      <c r="B48" s="2" t="s">
        <v>128</v>
      </c>
      <c r="C48" s="2" t="s">
        <v>87</v>
      </c>
      <c r="D48" s="2" t="s">
        <v>56</v>
      </c>
      <c r="E48" s="2" t="s">
        <v>57</v>
      </c>
      <c r="F48" s="2">
        <v>6960</v>
      </c>
      <c r="G48" s="2">
        <v>3</v>
      </c>
      <c r="H48" s="2">
        <v>2</v>
      </c>
      <c r="I48" s="2">
        <v>1</v>
      </c>
      <c r="J48" s="2" t="s">
        <v>51</v>
      </c>
      <c r="K48" s="2" t="s">
        <v>103</v>
      </c>
    </row>
    <row r="49" spans="1:11">
      <c r="A49" s="2">
        <v>1254</v>
      </c>
      <c r="B49" s="2" t="s">
        <v>129</v>
      </c>
      <c r="C49" s="2" t="s">
        <v>130</v>
      </c>
      <c r="D49" s="2" t="s">
        <v>19</v>
      </c>
      <c r="E49" s="2" t="s">
        <v>34</v>
      </c>
      <c r="F49" s="2">
        <v>5234</v>
      </c>
      <c r="G49" s="2">
        <v>15</v>
      </c>
      <c r="H49" s="2">
        <v>2</v>
      </c>
      <c r="I49" s="2">
        <v>3</v>
      </c>
      <c r="J49" s="2" t="s">
        <v>131</v>
      </c>
      <c r="K49" s="2" t="s">
        <v>22</v>
      </c>
    </row>
    <row r="50" spans="1:11">
      <c r="A50" s="2">
        <v>1073</v>
      </c>
      <c r="B50" s="2" t="s">
        <v>132</v>
      </c>
      <c r="C50" s="2" t="s">
        <v>130</v>
      </c>
      <c r="D50" s="2" t="s">
        <v>19</v>
      </c>
      <c r="E50" s="2" t="s">
        <v>112</v>
      </c>
      <c r="F50" s="2">
        <v>13138</v>
      </c>
      <c r="G50" s="2">
        <v>15</v>
      </c>
      <c r="H50" s="2">
        <v>1</v>
      </c>
      <c r="I50" s="2">
        <v>3</v>
      </c>
      <c r="J50" s="2" t="s">
        <v>51</v>
      </c>
      <c r="K50" s="2" t="s">
        <v>39</v>
      </c>
    </row>
    <row r="51" spans="1:11">
      <c r="A51" s="2">
        <v>1255</v>
      </c>
      <c r="B51" s="2" t="s">
        <v>133</v>
      </c>
      <c r="C51" s="2"/>
      <c r="D51" s="2" t="s">
        <v>19</v>
      </c>
      <c r="E51" s="2" t="s">
        <v>34</v>
      </c>
      <c r="F51" s="2">
        <v>13323</v>
      </c>
      <c r="G51" s="2">
        <v>4</v>
      </c>
      <c r="H51" s="2">
        <v>3</v>
      </c>
      <c r="I51" s="2">
        <v>1</v>
      </c>
      <c r="J51" s="2" t="s">
        <v>22</v>
      </c>
      <c r="K51" s="2" t="s">
        <v>103</v>
      </c>
    </row>
    <row r="52" spans="1:11">
      <c r="A52" s="2">
        <v>1247</v>
      </c>
      <c r="B52" s="2" t="s">
        <v>134</v>
      </c>
      <c r="C52" s="2" t="s">
        <v>135</v>
      </c>
      <c r="D52" s="2" t="s">
        <v>19</v>
      </c>
      <c r="E52" s="2" t="s">
        <v>34</v>
      </c>
      <c r="F52" s="2">
        <v>6191</v>
      </c>
      <c r="G52" s="2">
        <v>2</v>
      </c>
      <c r="H52" s="2">
        <v>1</v>
      </c>
      <c r="I52" s="2">
        <v>1</v>
      </c>
      <c r="J52" s="2" t="s">
        <v>39</v>
      </c>
      <c r="K52" s="2" t="s">
        <v>35</v>
      </c>
    </row>
    <row r="53" spans="1:11">
      <c r="A53" s="2">
        <v>1274</v>
      </c>
      <c r="B53" s="2" t="s">
        <v>136</v>
      </c>
      <c r="C53" s="2" t="s">
        <v>87</v>
      </c>
      <c r="D53" s="2" t="s">
        <v>56</v>
      </c>
      <c r="E53" s="2" t="s">
        <v>59</v>
      </c>
      <c r="F53" s="2">
        <v>9657</v>
      </c>
      <c r="G53" s="2">
        <v>10</v>
      </c>
      <c r="H53" s="2">
        <v>1</v>
      </c>
      <c r="I53" s="2">
        <v>3</v>
      </c>
      <c r="J53" s="2" t="s">
        <v>21</v>
      </c>
      <c r="K53" s="2" t="s">
        <v>137</v>
      </c>
    </row>
    <row r="54" spans="1:11">
      <c r="A54" s="2">
        <v>1005</v>
      </c>
      <c r="B54" s="2" t="s">
        <v>138</v>
      </c>
      <c r="C54" s="2"/>
      <c r="D54" s="2" t="s">
        <v>19</v>
      </c>
      <c r="E54" s="2" t="s">
        <v>34</v>
      </c>
      <c r="F54" s="2">
        <v>8020</v>
      </c>
      <c r="G54" s="2">
        <v>16</v>
      </c>
      <c r="H54" s="2">
        <v>1</v>
      </c>
      <c r="I54" s="2">
        <v>3</v>
      </c>
      <c r="J54" s="2" t="s">
        <v>67</v>
      </c>
      <c r="K54" s="2" t="s">
        <v>103</v>
      </c>
    </row>
    <row r="55" spans="1:11">
      <c r="A55" s="2">
        <v>1067</v>
      </c>
      <c r="B55" s="2" t="s">
        <v>139</v>
      </c>
      <c r="C55" s="2" t="s">
        <v>48</v>
      </c>
      <c r="D55" s="2" t="s">
        <v>49</v>
      </c>
      <c r="E55" s="2" t="s">
        <v>62</v>
      </c>
      <c r="F55" s="2">
        <v>14017</v>
      </c>
      <c r="G55" s="2">
        <v>9</v>
      </c>
      <c r="H55" s="2">
        <v>3</v>
      </c>
      <c r="I55" s="2">
        <v>4</v>
      </c>
      <c r="J55" s="2" t="s">
        <v>39</v>
      </c>
      <c r="K55" s="2" t="s">
        <v>103</v>
      </c>
    </row>
    <row r="56" spans="1:11">
      <c r="A56" s="2">
        <v>1157</v>
      </c>
      <c r="B56" s="2" t="s">
        <v>140</v>
      </c>
      <c r="C56" s="2"/>
      <c r="D56" s="2" t="s">
        <v>29</v>
      </c>
      <c r="E56" s="2" t="s">
        <v>102</v>
      </c>
      <c r="F56" s="2">
        <v>13008</v>
      </c>
      <c r="G56" s="2">
        <v>18</v>
      </c>
      <c r="H56" s="2">
        <v>2</v>
      </c>
      <c r="I56" s="2">
        <v>3</v>
      </c>
      <c r="J56" s="2" t="s">
        <v>31</v>
      </c>
      <c r="K56" s="2" t="s">
        <v>63</v>
      </c>
    </row>
    <row r="57" spans="1:11">
      <c r="A57" s="2">
        <v>1061</v>
      </c>
      <c r="B57" s="2" t="s">
        <v>141</v>
      </c>
      <c r="C57" s="2" t="s">
        <v>142</v>
      </c>
      <c r="D57" s="2" t="s">
        <v>49</v>
      </c>
      <c r="E57" s="2" t="s">
        <v>50</v>
      </c>
      <c r="F57" s="2">
        <v>10889</v>
      </c>
      <c r="G57" s="2">
        <v>2</v>
      </c>
      <c r="H57" s="2">
        <v>2</v>
      </c>
      <c r="I57" s="2">
        <v>4</v>
      </c>
      <c r="J57" s="2" t="s">
        <v>66</v>
      </c>
      <c r="K57" s="2" t="s">
        <v>21</v>
      </c>
    </row>
    <row r="58" spans="1:11">
      <c r="A58" s="2">
        <v>1219</v>
      </c>
      <c r="B58" s="2" t="s">
        <v>143</v>
      </c>
      <c r="C58" s="2" t="s">
        <v>144</v>
      </c>
      <c r="D58" s="2" t="s">
        <v>49</v>
      </c>
      <c r="E58" s="2" t="s">
        <v>50</v>
      </c>
      <c r="F58" s="2">
        <v>3547</v>
      </c>
      <c r="G58" s="2">
        <v>8</v>
      </c>
      <c r="H58" s="2">
        <v>4</v>
      </c>
      <c r="I58" s="2">
        <v>4</v>
      </c>
      <c r="J58" s="2" t="s">
        <v>51</v>
      </c>
      <c r="K58" s="2" t="s">
        <v>21</v>
      </c>
    </row>
    <row r="59" spans="1:11">
      <c r="A59" s="2">
        <v>1004</v>
      </c>
      <c r="B59" s="2" t="s">
        <v>145</v>
      </c>
      <c r="C59" s="2" t="s">
        <v>146</v>
      </c>
      <c r="D59" s="2" t="s">
        <v>29</v>
      </c>
      <c r="E59" s="2" t="s">
        <v>30</v>
      </c>
      <c r="F59" s="2">
        <v>9319</v>
      </c>
      <c r="G59" s="2">
        <v>0</v>
      </c>
      <c r="H59" s="2">
        <v>3</v>
      </c>
      <c r="I59" s="2">
        <v>1</v>
      </c>
      <c r="J59" s="2" t="s">
        <v>22</v>
      </c>
      <c r="K59" s="2" t="s">
        <v>71</v>
      </c>
    </row>
    <row r="60" spans="1:11">
      <c r="A60" s="2">
        <v>1185</v>
      </c>
      <c r="B60" s="2" t="s">
        <v>147</v>
      </c>
      <c r="C60" s="2" t="s">
        <v>24</v>
      </c>
      <c r="D60" s="2" t="s">
        <v>25</v>
      </c>
      <c r="E60" s="2" t="s">
        <v>148</v>
      </c>
      <c r="F60" s="2">
        <v>5674</v>
      </c>
      <c r="G60" s="2">
        <v>8</v>
      </c>
      <c r="H60" s="2">
        <v>4</v>
      </c>
      <c r="I60" s="2">
        <v>3</v>
      </c>
      <c r="J60" s="2" t="s">
        <v>67</v>
      </c>
      <c r="K60" s="2" t="s">
        <v>22</v>
      </c>
    </row>
    <row r="61" spans="1:11">
      <c r="A61" s="2">
        <v>1144</v>
      </c>
      <c r="B61" s="2" t="s">
        <v>149</v>
      </c>
      <c r="C61" s="2" t="s">
        <v>150</v>
      </c>
      <c r="D61" s="2" t="s">
        <v>56</v>
      </c>
      <c r="E61" s="2" t="s">
        <v>57</v>
      </c>
      <c r="F61" s="2">
        <v>9263</v>
      </c>
      <c r="G61" s="2">
        <v>18</v>
      </c>
      <c r="H61" s="2">
        <v>2</v>
      </c>
      <c r="I61" s="2">
        <v>4</v>
      </c>
      <c r="J61" s="2" t="s">
        <v>103</v>
      </c>
      <c r="K61" s="2" t="s">
        <v>67</v>
      </c>
    </row>
    <row r="62" spans="1:11">
      <c r="A62" s="2">
        <v>1055</v>
      </c>
      <c r="B62" s="2" t="s">
        <v>151</v>
      </c>
      <c r="C62" s="2" t="s">
        <v>152</v>
      </c>
      <c r="D62" s="2" t="s">
        <v>19</v>
      </c>
      <c r="E62" s="2" t="s">
        <v>20</v>
      </c>
      <c r="F62" s="2">
        <v>11664</v>
      </c>
      <c r="G62" s="2">
        <v>9</v>
      </c>
      <c r="H62" s="2">
        <v>1</v>
      </c>
      <c r="I62" s="2">
        <v>2</v>
      </c>
      <c r="J62" s="2" t="s">
        <v>22</v>
      </c>
      <c r="K62" s="2" t="s">
        <v>51</v>
      </c>
    </row>
    <row r="63" spans="1:11">
      <c r="A63" s="2">
        <v>1167</v>
      </c>
      <c r="B63" s="2" t="s">
        <v>153</v>
      </c>
      <c r="C63" s="2" t="s">
        <v>154</v>
      </c>
      <c r="D63" s="2" t="s">
        <v>13</v>
      </c>
      <c r="E63" s="2" t="s">
        <v>155</v>
      </c>
      <c r="F63" s="2">
        <v>4114</v>
      </c>
      <c r="G63" s="2">
        <v>2</v>
      </c>
      <c r="H63" s="2">
        <v>3</v>
      </c>
      <c r="I63" s="2">
        <v>3</v>
      </c>
      <c r="J63" s="2" t="s">
        <v>103</v>
      </c>
      <c r="K63" s="2" t="s">
        <v>156</v>
      </c>
    </row>
    <row r="64" spans="1:11">
      <c r="A64" s="2">
        <v>1062</v>
      </c>
      <c r="B64" s="2" t="s">
        <v>157</v>
      </c>
      <c r="C64" s="2" t="s">
        <v>33</v>
      </c>
      <c r="D64" s="2" t="s">
        <v>19</v>
      </c>
      <c r="E64" s="2" t="s">
        <v>34</v>
      </c>
      <c r="F64" s="2">
        <v>12822</v>
      </c>
      <c r="G64" s="2">
        <v>12</v>
      </c>
      <c r="H64" s="2">
        <v>2</v>
      </c>
      <c r="I64" s="2">
        <v>4</v>
      </c>
      <c r="J64" s="2" t="s">
        <v>131</v>
      </c>
      <c r="K64" s="2" t="s">
        <v>158</v>
      </c>
    </row>
    <row r="65" spans="1:11">
      <c r="A65" s="2">
        <v>1279</v>
      </c>
      <c r="B65" s="2" t="s">
        <v>159</v>
      </c>
      <c r="C65" s="2" t="s">
        <v>87</v>
      </c>
      <c r="D65" s="2" t="s">
        <v>56</v>
      </c>
      <c r="E65" s="2" t="s">
        <v>57</v>
      </c>
      <c r="F65" s="2">
        <v>9924</v>
      </c>
      <c r="G65" s="2">
        <v>5</v>
      </c>
      <c r="H65" s="2">
        <v>2</v>
      </c>
      <c r="I65" s="2">
        <v>4</v>
      </c>
      <c r="J65" s="2" t="s">
        <v>51</v>
      </c>
      <c r="K65" s="2" t="s">
        <v>131</v>
      </c>
    </row>
    <row r="66" spans="1:11">
      <c r="A66" s="2">
        <v>1032</v>
      </c>
      <c r="B66" s="2" t="s">
        <v>160</v>
      </c>
      <c r="C66" s="2"/>
      <c r="D66" s="2" t="s">
        <v>13</v>
      </c>
      <c r="E66" s="2" t="s">
        <v>44</v>
      </c>
      <c r="F66" s="2">
        <v>9844</v>
      </c>
      <c r="G66" s="2">
        <v>6</v>
      </c>
      <c r="H66" s="2">
        <v>4</v>
      </c>
      <c r="I66" s="2">
        <v>3</v>
      </c>
      <c r="J66" s="2" t="s">
        <v>51</v>
      </c>
      <c r="K66" s="2" t="s">
        <v>21</v>
      </c>
    </row>
    <row r="67" spans="1:11">
      <c r="A67" s="2">
        <v>1013</v>
      </c>
      <c r="B67" s="2" t="s">
        <v>161</v>
      </c>
      <c r="C67" s="2" t="s">
        <v>120</v>
      </c>
      <c r="D67" s="2" t="s">
        <v>29</v>
      </c>
      <c r="E67" s="2" t="s">
        <v>102</v>
      </c>
      <c r="F67" s="2">
        <v>11247</v>
      </c>
      <c r="G67" s="2">
        <v>2</v>
      </c>
      <c r="H67" s="2">
        <v>3</v>
      </c>
      <c r="I67" s="2">
        <v>3</v>
      </c>
      <c r="J67" s="2" t="s">
        <v>131</v>
      </c>
      <c r="K67" s="2" t="s">
        <v>21</v>
      </c>
    </row>
    <row r="68" spans="1:11">
      <c r="A68" s="2">
        <v>1164</v>
      </c>
      <c r="B68" s="2" t="s">
        <v>162</v>
      </c>
      <c r="C68" s="2" t="s">
        <v>163</v>
      </c>
      <c r="D68" s="2" t="s">
        <v>13</v>
      </c>
      <c r="E68" s="2" t="s">
        <v>44</v>
      </c>
      <c r="F68" s="2">
        <v>7015</v>
      </c>
      <c r="G68" s="2">
        <v>8</v>
      </c>
      <c r="H68" s="2">
        <v>2</v>
      </c>
      <c r="I68" s="2">
        <v>4</v>
      </c>
      <c r="J68" s="2" t="s">
        <v>51</v>
      </c>
      <c r="K68" s="2" t="s">
        <v>103</v>
      </c>
    </row>
    <row r="69" spans="1:11">
      <c r="A69" s="2">
        <v>1065</v>
      </c>
      <c r="B69" s="2" t="s">
        <v>164</v>
      </c>
      <c r="C69" s="2" t="s">
        <v>33</v>
      </c>
      <c r="D69" s="2" t="s">
        <v>19</v>
      </c>
      <c r="E69" s="2" t="s">
        <v>112</v>
      </c>
      <c r="F69" s="2">
        <v>9172</v>
      </c>
      <c r="G69" s="2">
        <v>4</v>
      </c>
      <c r="H69" s="2">
        <v>2</v>
      </c>
      <c r="I69" s="2">
        <v>3</v>
      </c>
      <c r="J69" s="2" t="s">
        <v>67</v>
      </c>
      <c r="K69" s="2" t="s">
        <v>67</v>
      </c>
    </row>
    <row r="70" spans="1:11">
      <c r="A70" s="2">
        <v>1087</v>
      </c>
      <c r="B70" s="2" t="s">
        <v>165</v>
      </c>
      <c r="C70" s="2" t="s">
        <v>166</v>
      </c>
      <c r="D70" s="2" t="s">
        <v>19</v>
      </c>
      <c r="E70" s="2" t="s">
        <v>34</v>
      </c>
      <c r="F70" s="2">
        <v>5154</v>
      </c>
      <c r="G70" s="2">
        <v>2</v>
      </c>
      <c r="H70" s="2">
        <v>2</v>
      </c>
      <c r="I70" s="2">
        <v>4</v>
      </c>
      <c r="J70" s="2" t="s">
        <v>115</v>
      </c>
      <c r="K70" s="2" t="s">
        <v>22</v>
      </c>
    </row>
    <row r="71" spans="1:11">
      <c r="A71" s="2">
        <v>1115</v>
      </c>
      <c r="B71" s="2" t="s">
        <v>167</v>
      </c>
      <c r="C71" s="2"/>
      <c r="D71" s="2" t="s">
        <v>49</v>
      </c>
      <c r="E71" s="2" t="s">
        <v>62</v>
      </c>
      <c r="F71" s="2">
        <v>12798</v>
      </c>
      <c r="G71" s="2">
        <v>2</v>
      </c>
      <c r="H71" s="2">
        <v>3</v>
      </c>
      <c r="I71" s="2">
        <v>2</v>
      </c>
      <c r="J71" s="2" t="s">
        <v>22</v>
      </c>
      <c r="K71" s="2" t="s">
        <v>137</v>
      </c>
    </row>
    <row r="72" spans="1:11">
      <c r="A72" s="2">
        <v>1252</v>
      </c>
      <c r="B72" s="2" t="s">
        <v>168</v>
      </c>
      <c r="C72" s="2" t="s">
        <v>55</v>
      </c>
      <c r="D72" s="2" t="s">
        <v>56</v>
      </c>
      <c r="E72" s="2" t="s">
        <v>59</v>
      </c>
      <c r="F72" s="2">
        <v>13402</v>
      </c>
      <c r="G72" s="2">
        <v>16</v>
      </c>
      <c r="H72" s="2">
        <v>1</v>
      </c>
      <c r="I72" s="2">
        <v>4</v>
      </c>
      <c r="J72" s="2" t="s">
        <v>169</v>
      </c>
      <c r="K72" s="2" t="s">
        <v>31</v>
      </c>
    </row>
    <row r="73" spans="1:11">
      <c r="A73" s="2">
        <v>1298</v>
      </c>
      <c r="B73" s="2" t="s">
        <v>170</v>
      </c>
      <c r="C73" s="2"/>
      <c r="D73" s="2" t="s">
        <v>25</v>
      </c>
      <c r="E73" s="2" t="s">
        <v>148</v>
      </c>
      <c r="F73" s="2">
        <v>10811</v>
      </c>
      <c r="G73" s="2">
        <v>6</v>
      </c>
      <c r="H73" s="2">
        <v>2</v>
      </c>
      <c r="I73" s="2">
        <v>3</v>
      </c>
      <c r="J73" s="2" t="s">
        <v>169</v>
      </c>
      <c r="K73" s="2" t="s">
        <v>114</v>
      </c>
    </row>
    <row r="74" spans="1:11">
      <c r="A74" s="2">
        <v>1014</v>
      </c>
      <c r="B74" s="2" t="s">
        <v>171</v>
      </c>
      <c r="C74" s="2" t="s">
        <v>172</v>
      </c>
      <c r="D74" s="2" t="s">
        <v>49</v>
      </c>
      <c r="E74" s="2" t="s">
        <v>50</v>
      </c>
      <c r="F74" s="2">
        <v>5247</v>
      </c>
      <c r="G74" s="2">
        <v>11</v>
      </c>
      <c r="H74" s="2">
        <v>2</v>
      </c>
      <c r="I74" s="2">
        <v>4</v>
      </c>
      <c r="J74" s="2" t="s">
        <v>115</v>
      </c>
      <c r="K74" s="2" t="s">
        <v>51</v>
      </c>
    </row>
    <row r="75" spans="1:11">
      <c r="A75" s="2">
        <v>1026</v>
      </c>
      <c r="B75" s="2" t="s">
        <v>173</v>
      </c>
      <c r="C75" s="2" t="s">
        <v>174</v>
      </c>
      <c r="D75" s="2" t="s">
        <v>56</v>
      </c>
      <c r="E75" s="2" t="s">
        <v>85</v>
      </c>
      <c r="F75" s="2">
        <v>3328</v>
      </c>
      <c r="G75" s="2">
        <v>16</v>
      </c>
      <c r="H75" s="2">
        <v>1</v>
      </c>
      <c r="I75" s="2">
        <v>4</v>
      </c>
      <c r="J75" s="2" t="s">
        <v>103</v>
      </c>
      <c r="K75" s="2" t="s">
        <v>22</v>
      </c>
    </row>
    <row r="76" spans="1:11">
      <c r="A76" s="2">
        <v>1229</v>
      </c>
      <c r="B76" s="2" t="s">
        <v>175</v>
      </c>
      <c r="C76" s="2" t="s">
        <v>101</v>
      </c>
      <c r="D76" s="2" t="s">
        <v>29</v>
      </c>
      <c r="E76" s="2" t="s">
        <v>102</v>
      </c>
      <c r="F76" s="2">
        <v>7541</v>
      </c>
      <c r="G76" s="2">
        <v>10</v>
      </c>
      <c r="H76" s="2">
        <v>1</v>
      </c>
      <c r="I76" s="2">
        <v>2</v>
      </c>
      <c r="J76" s="2" t="s">
        <v>114</v>
      </c>
      <c r="K76" s="2" t="s">
        <v>16</v>
      </c>
    </row>
    <row r="77" spans="1:11">
      <c r="A77" s="2">
        <v>1036</v>
      </c>
      <c r="B77" s="2" t="s">
        <v>176</v>
      </c>
      <c r="C77" s="2" t="s">
        <v>87</v>
      </c>
      <c r="D77" s="2" t="s">
        <v>56</v>
      </c>
      <c r="E77" s="2" t="s">
        <v>57</v>
      </c>
      <c r="F77" s="2">
        <v>4461</v>
      </c>
      <c r="G77" s="2">
        <v>3</v>
      </c>
      <c r="H77" s="2">
        <v>4</v>
      </c>
      <c r="I77" s="2">
        <v>2</v>
      </c>
      <c r="J77" s="2" t="s">
        <v>22</v>
      </c>
      <c r="K77" s="2" t="s">
        <v>103</v>
      </c>
    </row>
    <row r="78" spans="1:11">
      <c r="A78" s="2">
        <v>1162</v>
      </c>
      <c r="B78" s="2" t="s">
        <v>177</v>
      </c>
      <c r="C78" s="2" t="s">
        <v>178</v>
      </c>
      <c r="D78" s="2" t="s">
        <v>25</v>
      </c>
      <c r="E78" s="2" t="s">
        <v>148</v>
      </c>
      <c r="F78" s="2">
        <v>10529</v>
      </c>
      <c r="G78" s="2">
        <v>1</v>
      </c>
      <c r="H78" s="2">
        <v>2</v>
      </c>
      <c r="I78" s="2">
        <v>2</v>
      </c>
      <c r="J78" s="2" t="s">
        <v>66</v>
      </c>
      <c r="K78" s="2" t="s">
        <v>137</v>
      </c>
    </row>
    <row r="79" spans="1:11">
      <c r="A79" s="2">
        <v>1003</v>
      </c>
      <c r="B79" s="2" t="s">
        <v>179</v>
      </c>
      <c r="C79" s="2" t="s">
        <v>55</v>
      </c>
      <c r="D79" s="2" t="s">
        <v>56</v>
      </c>
      <c r="E79" s="2" t="s">
        <v>59</v>
      </c>
      <c r="F79" s="2">
        <v>12188</v>
      </c>
      <c r="G79" s="2">
        <v>10</v>
      </c>
      <c r="H79" s="2">
        <v>2</v>
      </c>
      <c r="I79" s="2">
        <v>4</v>
      </c>
      <c r="J79" s="2" t="s">
        <v>95</v>
      </c>
      <c r="K79" s="2" t="s">
        <v>31</v>
      </c>
    </row>
    <row r="80" spans="1:11">
      <c r="A80" s="2">
        <v>1044</v>
      </c>
      <c r="B80" s="2" t="s">
        <v>180</v>
      </c>
      <c r="C80" s="2" t="s">
        <v>181</v>
      </c>
      <c r="D80" s="2" t="s">
        <v>49</v>
      </c>
      <c r="E80" s="2" t="s">
        <v>50</v>
      </c>
      <c r="F80" s="2">
        <v>7129</v>
      </c>
      <c r="G80" s="2">
        <v>11</v>
      </c>
      <c r="H80" s="2">
        <v>3</v>
      </c>
      <c r="I80" s="2">
        <v>4</v>
      </c>
      <c r="J80" s="2" t="s">
        <v>51</v>
      </c>
      <c r="K80" s="2" t="s">
        <v>182</v>
      </c>
    </row>
    <row r="81" spans="1:11">
      <c r="A81" s="2">
        <v>1117</v>
      </c>
      <c r="B81" s="2" t="s">
        <v>183</v>
      </c>
      <c r="C81" s="2" t="s">
        <v>184</v>
      </c>
      <c r="D81" s="2" t="s">
        <v>13</v>
      </c>
      <c r="E81" s="2" t="s">
        <v>155</v>
      </c>
      <c r="F81" s="2">
        <v>5732</v>
      </c>
      <c r="G81" s="2">
        <v>9</v>
      </c>
      <c r="H81" s="2">
        <v>3</v>
      </c>
      <c r="I81" s="2">
        <v>4</v>
      </c>
      <c r="J81" s="2" t="s">
        <v>51</v>
      </c>
      <c r="K81" s="2" t="s">
        <v>22</v>
      </c>
    </row>
    <row r="82" spans="1:11">
      <c r="A82" s="2">
        <v>1111</v>
      </c>
      <c r="B82" s="2" t="s">
        <v>185</v>
      </c>
      <c r="C82" s="2" t="s">
        <v>33</v>
      </c>
      <c r="D82" s="2" t="s">
        <v>19</v>
      </c>
      <c r="E82" s="2" t="s">
        <v>20</v>
      </c>
      <c r="F82" s="2">
        <v>7010</v>
      </c>
      <c r="G82" s="2">
        <v>19</v>
      </c>
      <c r="H82" s="2">
        <v>1</v>
      </c>
      <c r="I82" s="2">
        <v>4</v>
      </c>
      <c r="J82" s="2" t="s">
        <v>169</v>
      </c>
      <c r="K82" s="2" t="s">
        <v>88</v>
      </c>
    </row>
    <row r="83" spans="1:11">
      <c r="A83" s="2">
        <v>1034</v>
      </c>
      <c r="B83" s="2" t="s">
        <v>186</v>
      </c>
      <c r="C83" s="2" t="s">
        <v>187</v>
      </c>
      <c r="D83" s="2" t="s">
        <v>25</v>
      </c>
      <c r="E83" s="2" t="s">
        <v>38</v>
      </c>
      <c r="F83" s="2">
        <v>5312</v>
      </c>
      <c r="G83" s="2">
        <v>13</v>
      </c>
      <c r="H83" s="2">
        <v>1</v>
      </c>
      <c r="I83" s="2">
        <v>2</v>
      </c>
      <c r="J83" s="2" t="s">
        <v>74</v>
      </c>
      <c r="K83" s="2" t="s">
        <v>156</v>
      </c>
    </row>
    <row r="84" spans="1:11">
      <c r="A84" s="2">
        <v>1256</v>
      </c>
      <c r="B84" s="2" t="s">
        <v>188</v>
      </c>
      <c r="C84" s="2"/>
      <c r="D84" s="2" t="s">
        <v>29</v>
      </c>
      <c r="E84" s="2" t="s">
        <v>30</v>
      </c>
      <c r="F84" s="2">
        <v>11459</v>
      </c>
      <c r="G84" s="2">
        <v>16</v>
      </c>
      <c r="H84" s="2">
        <v>2</v>
      </c>
      <c r="I84" s="2">
        <v>3</v>
      </c>
      <c r="J84" s="2" t="s">
        <v>67</v>
      </c>
      <c r="K84" s="2" t="s">
        <v>16</v>
      </c>
    </row>
    <row r="85" spans="1:11">
      <c r="A85" s="2">
        <v>1008</v>
      </c>
      <c r="B85" s="2" t="s">
        <v>189</v>
      </c>
      <c r="C85" s="2" t="s">
        <v>190</v>
      </c>
      <c r="D85" s="2" t="s">
        <v>25</v>
      </c>
      <c r="E85" s="2" t="s">
        <v>148</v>
      </c>
      <c r="F85" s="2">
        <v>12714</v>
      </c>
      <c r="G85" s="2">
        <v>16</v>
      </c>
      <c r="H85" s="2">
        <v>2</v>
      </c>
      <c r="I85" s="2">
        <v>4</v>
      </c>
      <c r="J85" s="2" t="s">
        <v>131</v>
      </c>
      <c r="K85" s="2" t="s">
        <v>39</v>
      </c>
    </row>
    <row r="86" spans="1:11">
      <c r="A86" s="2">
        <v>1163</v>
      </c>
      <c r="B86" s="2" t="s">
        <v>191</v>
      </c>
      <c r="C86" s="2" t="s">
        <v>55</v>
      </c>
      <c r="D86" s="2" t="s">
        <v>56</v>
      </c>
      <c r="E86" s="2" t="s">
        <v>59</v>
      </c>
      <c r="F86" s="2">
        <v>6443</v>
      </c>
      <c r="G86" s="2">
        <v>3</v>
      </c>
      <c r="H86" s="2">
        <v>3</v>
      </c>
      <c r="I86" s="2">
        <v>4</v>
      </c>
      <c r="J86" s="2" t="s">
        <v>124</v>
      </c>
      <c r="K86" s="2" t="s">
        <v>41</v>
      </c>
    </row>
    <row r="87" spans="1:11">
      <c r="A87" s="2">
        <v>1154</v>
      </c>
      <c r="B87" s="2" t="s">
        <v>192</v>
      </c>
      <c r="C87" s="2" t="s">
        <v>193</v>
      </c>
      <c r="D87" s="2" t="s">
        <v>56</v>
      </c>
      <c r="E87" s="2" t="s">
        <v>85</v>
      </c>
      <c r="F87" s="2">
        <v>3286</v>
      </c>
      <c r="G87" s="2">
        <v>8</v>
      </c>
      <c r="H87" s="2">
        <v>3</v>
      </c>
      <c r="I87" s="2">
        <v>3</v>
      </c>
      <c r="J87" s="2" t="s">
        <v>22</v>
      </c>
      <c r="K87" s="2" t="s">
        <v>109</v>
      </c>
    </row>
    <row r="88" spans="1:11">
      <c r="A88" s="2">
        <v>1100</v>
      </c>
      <c r="B88" s="2" t="s">
        <v>194</v>
      </c>
      <c r="C88" s="2" t="s">
        <v>48</v>
      </c>
      <c r="D88" s="2" t="s">
        <v>49</v>
      </c>
      <c r="E88" s="2" t="s">
        <v>78</v>
      </c>
      <c r="F88" s="2">
        <v>9987</v>
      </c>
      <c r="G88" s="2">
        <v>5</v>
      </c>
      <c r="H88" s="2">
        <v>1</v>
      </c>
      <c r="I88" s="2">
        <v>2</v>
      </c>
      <c r="J88" s="2" t="s">
        <v>103</v>
      </c>
      <c r="K88" s="2" t="s">
        <v>22</v>
      </c>
    </row>
    <row r="89" spans="1:11">
      <c r="A89" s="2">
        <v>1227</v>
      </c>
      <c r="B89" s="2" t="s">
        <v>195</v>
      </c>
      <c r="C89" s="2" t="s">
        <v>196</v>
      </c>
      <c r="D89" s="2" t="s">
        <v>49</v>
      </c>
      <c r="E89" s="2" t="s">
        <v>50</v>
      </c>
      <c r="F89" s="2">
        <v>5300</v>
      </c>
      <c r="G89" s="2">
        <v>5</v>
      </c>
      <c r="H89" s="2">
        <v>2</v>
      </c>
      <c r="I89" s="2">
        <v>4</v>
      </c>
      <c r="J89" s="2" t="s">
        <v>131</v>
      </c>
      <c r="K89" s="2" t="s">
        <v>22</v>
      </c>
    </row>
    <row r="90" spans="1:11">
      <c r="A90" s="2">
        <v>1007</v>
      </c>
      <c r="B90" s="2" t="s">
        <v>197</v>
      </c>
      <c r="C90" s="2" t="s">
        <v>198</v>
      </c>
      <c r="D90" s="2" t="s">
        <v>19</v>
      </c>
      <c r="E90" s="2" t="s">
        <v>112</v>
      </c>
      <c r="F90" s="2">
        <v>11452</v>
      </c>
      <c r="G90" s="2">
        <v>5</v>
      </c>
      <c r="H90" s="2">
        <v>1</v>
      </c>
      <c r="I90" s="2">
        <v>3</v>
      </c>
      <c r="J90" s="2" t="s">
        <v>103</v>
      </c>
      <c r="K90" s="2" t="s">
        <v>22</v>
      </c>
    </row>
    <row r="91" spans="1:11">
      <c r="A91" s="2">
        <v>1009</v>
      </c>
      <c r="B91" s="2" t="s">
        <v>199</v>
      </c>
      <c r="C91" s="2" t="s">
        <v>172</v>
      </c>
      <c r="D91" s="2" t="s">
        <v>49</v>
      </c>
      <c r="E91" s="2" t="s">
        <v>78</v>
      </c>
      <c r="F91" s="2">
        <v>9285</v>
      </c>
      <c r="G91" s="2">
        <v>0</v>
      </c>
      <c r="H91" s="2">
        <v>1</v>
      </c>
      <c r="I91" s="2">
        <v>4</v>
      </c>
      <c r="J91" s="2" t="s">
        <v>39</v>
      </c>
      <c r="K91" s="2" t="s">
        <v>22</v>
      </c>
    </row>
    <row r="92" spans="1:11">
      <c r="A92" s="2">
        <v>1058</v>
      </c>
      <c r="B92" s="2" t="s">
        <v>200</v>
      </c>
      <c r="C92" s="2"/>
      <c r="D92" s="2" t="s">
        <v>56</v>
      </c>
      <c r="E92" s="2" t="s">
        <v>59</v>
      </c>
      <c r="F92" s="2">
        <v>7600</v>
      </c>
      <c r="G92" s="2">
        <v>11</v>
      </c>
      <c r="H92" s="2">
        <v>1</v>
      </c>
      <c r="I92" s="2">
        <v>2</v>
      </c>
      <c r="J92" s="2" t="s">
        <v>39</v>
      </c>
      <c r="K92" s="2" t="s">
        <v>22</v>
      </c>
    </row>
    <row r="93" spans="1:11">
      <c r="A93" s="2">
        <v>1133</v>
      </c>
      <c r="B93" s="2" t="s">
        <v>201</v>
      </c>
      <c r="C93" s="2" t="s">
        <v>202</v>
      </c>
      <c r="D93" s="2" t="s">
        <v>29</v>
      </c>
      <c r="E93" s="2" t="s">
        <v>30</v>
      </c>
      <c r="F93" s="2">
        <v>14087</v>
      </c>
      <c r="G93" s="2">
        <v>7</v>
      </c>
      <c r="H93" s="2">
        <v>2</v>
      </c>
      <c r="I93" s="2">
        <v>4</v>
      </c>
      <c r="J93" s="2" t="s">
        <v>103</v>
      </c>
      <c r="K93" s="2" t="s">
        <v>66</v>
      </c>
    </row>
    <row r="94" spans="1:11">
      <c r="A94" s="2">
        <v>1037</v>
      </c>
      <c r="B94" s="2" t="s">
        <v>203</v>
      </c>
      <c r="C94" s="2" t="s">
        <v>204</v>
      </c>
      <c r="D94" s="2" t="s">
        <v>13</v>
      </c>
      <c r="E94" s="2" t="s">
        <v>155</v>
      </c>
      <c r="F94" s="2">
        <v>4282</v>
      </c>
      <c r="G94" s="2">
        <v>0</v>
      </c>
      <c r="H94" s="2">
        <v>3</v>
      </c>
      <c r="I94" s="2">
        <v>2</v>
      </c>
      <c r="J94" s="2" t="s">
        <v>169</v>
      </c>
      <c r="K94" s="2" t="s">
        <v>41</v>
      </c>
    </row>
    <row r="95" spans="1:11">
      <c r="A95" s="2">
        <v>1242</v>
      </c>
      <c r="B95" s="2" t="s">
        <v>205</v>
      </c>
      <c r="C95" s="2" t="s">
        <v>206</v>
      </c>
      <c r="D95" s="2" t="s">
        <v>56</v>
      </c>
      <c r="E95" s="2" t="s">
        <v>59</v>
      </c>
      <c r="F95" s="2">
        <v>4796</v>
      </c>
      <c r="G95" s="2">
        <v>12</v>
      </c>
      <c r="H95" s="2">
        <v>1</v>
      </c>
      <c r="I95" s="2">
        <v>2</v>
      </c>
      <c r="J95" s="2" t="s">
        <v>115</v>
      </c>
      <c r="K95" s="2" t="s">
        <v>42</v>
      </c>
    </row>
    <row r="96" spans="1:11">
      <c r="A96" s="2">
        <v>1063</v>
      </c>
      <c r="B96" s="2" t="s">
        <v>207</v>
      </c>
      <c r="C96" s="2" t="s">
        <v>55</v>
      </c>
      <c r="D96" s="2" t="s">
        <v>56</v>
      </c>
      <c r="E96" s="2" t="s">
        <v>57</v>
      </c>
      <c r="F96" s="2">
        <v>12078</v>
      </c>
      <c r="G96" s="2">
        <v>0</v>
      </c>
      <c r="H96" s="2">
        <v>1</v>
      </c>
      <c r="I96" s="2">
        <v>1</v>
      </c>
      <c r="J96" s="2" t="s">
        <v>67</v>
      </c>
      <c r="K96" s="2" t="s">
        <v>67</v>
      </c>
    </row>
    <row r="97" spans="1:11">
      <c r="A97" s="2">
        <v>1116</v>
      </c>
      <c r="B97" s="2" t="s">
        <v>208</v>
      </c>
      <c r="C97" s="2" t="s">
        <v>209</v>
      </c>
      <c r="D97" s="2" t="s">
        <v>25</v>
      </c>
      <c r="E97" s="2" t="s">
        <v>26</v>
      </c>
      <c r="F97" s="2">
        <v>13986</v>
      </c>
      <c r="G97" s="2">
        <v>4</v>
      </c>
      <c r="H97" s="2">
        <v>3</v>
      </c>
      <c r="I97" s="2">
        <v>4</v>
      </c>
      <c r="J97" s="2" t="s">
        <v>51</v>
      </c>
      <c r="K97" s="2" t="s">
        <v>103</v>
      </c>
    </row>
    <row r="98" spans="1:11">
      <c r="A98" s="2">
        <v>1173</v>
      </c>
      <c r="B98" s="2" t="s">
        <v>210</v>
      </c>
      <c r="C98" s="2" t="s">
        <v>154</v>
      </c>
      <c r="D98" s="2" t="s">
        <v>13</v>
      </c>
      <c r="E98" s="2" t="s">
        <v>155</v>
      </c>
      <c r="F98" s="2">
        <v>3875</v>
      </c>
      <c r="G98" s="2">
        <v>4</v>
      </c>
      <c r="H98" s="2">
        <v>4</v>
      </c>
      <c r="I98" s="2">
        <v>4</v>
      </c>
      <c r="J98" s="2" t="s">
        <v>16</v>
      </c>
      <c r="K98" s="2" t="s">
        <v>45</v>
      </c>
    </row>
    <row r="99" spans="1:11">
      <c r="A99" s="2">
        <v>1074</v>
      </c>
      <c r="B99" s="2" t="s">
        <v>211</v>
      </c>
      <c r="C99" s="2" t="s">
        <v>212</v>
      </c>
      <c r="D99" s="2" t="s">
        <v>49</v>
      </c>
      <c r="E99" s="2" t="s">
        <v>78</v>
      </c>
      <c r="F99" s="2">
        <v>8699</v>
      </c>
      <c r="G99" s="2">
        <v>2</v>
      </c>
      <c r="H99" s="2">
        <v>3</v>
      </c>
      <c r="I99" s="2">
        <v>2</v>
      </c>
      <c r="J99" s="2" t="s">
        <v>41</v>
      </c>
      <c r="K99" s="2" t="s">
        <v>42</v>
      </c>
    </row>
    <row r="100" spans="1:11">
      <c r="A100" s="2">
        <v>1135</v>
      </c>
      <c r="B100" s="2" t="s">
        <v>213</v>
      </c>
      <c r="C100" s="2" t="s">
        <v>202</v>
      </c>
      <c r="D100" s="2" t="s">
        <v>29</v>
      </c>
      <c r="E100" s="2" t="s">
        <v>30</v>
      </c>
      <c r="F100" s="2">
        <v>6061</v>
      </c>
      <c r="G100" s="2">
        <v>9</v>
      </c>
      <c r="H100" s="2">
        <v>3</v>
      </c>
      <c r="I100" s="2">
        <v>4</v>
      </c>
      <c r="J100" s="2" t="s">
        <v>51</v>
      </c>
      <c r="K100" s="2" t="s">
        <v>214</v>
      </c>
    </row>
    <row r="101" spans="1:11">
      <c r="A101" s="2">
        <v>1260</v>
      </c>
      <c r="B101" s="2" t="s">
        <v>215</v>
      </c>
      <c r="C101" s="2"/>
      <c r="D101" s="2" t="s">
        <v>56</v>
      </c>
      <c r="E101" s="2" t="s">
        <v>57</v>
      </c>
      <c r="F101" s="2">
        <v>6734</v>
      </c>
      <c r="G101" s="2">
        <v>0</v>
      </c>
      <c r="H101" s="2">
        <v>3</v>
      </c>
      <c r="I101" s="2">
        <v>4</v>
      </c>
      <c r="J101" s="2" t="s">
        <v>216</v>
      </c>
      <c r="K101" s="2" t="s">
        <v>156</v>
      </c>
    </row>
    <row r="102" spans="1:11">
      <c r="A102" s="2">
        <v>1072</v>
      </c>
      <c r="B102" s="2" t="s">
        <v>217</v>
      </c>
      <c r="C102" s="2" t="s">
        <v>218</v>
      </c>
      <c r="D102" s="2" t="s">
        <v>29</v>
      </c>
      <c r="E102" s="2" t="s">
        <v>30</v>
      </c>
      <c r="F102" s="2">
        <v>10211</v>
      </c>
      <c r="G102" s="2">
        <v>2</v>
      </c>
      <c r="H102" s="2">
        <v>4</v>
      </c>
      <c r="I102" s="2">
        <v>2</v>
      </c>
      <c r="J102" s="2" t="s">
        <v>219</v>
      </c>
      <c r="K102" s="2" t="s">
        <v>21</v>
      </c>
    </row>
    <row r="103" spans="1:11">
      <c r="A103" s="2">
        <v>1270</v>
      </c>
      <c r="B103" s="2" t="s">
        <v>220</v>
      </c>
      <c r="C103" s="2" t="s">
        <v>221</v>
      </c>
      <c r="D103" s="2" t="s">
        <v>19</v>
      </c>
      <c r="E103" s="2" t="s">
        <v>34</v>
      </c>
      <c r="F103" s="2">
        <v>12478</v>
      </c>
      <c r="G103" s="2">
        <v>10</v>
      </c>
      <c r="H103" s="2">
        <v>2</v>
      </c>
      <c r="I103" s="2">
        <v>4</v>
      </c>
      <c r="J103" s="2" t="s">
        <v>51</v>
      </c>
      <c r="K103" s="2" t="s">
        <v>31</v>
      </c>
    </row>
    <row r="104" spans="1:11">
      <c r="A104" s="2">
        <v>1048</v>
      </c>
      <c r="B104" s="2" t="s">
        <v>222</v>
      </c>
      <c r="C104" s="2" t="s">
        <v>202</v>
      </c>
      <c r="D104" s="2" t="s">
        <v>29</v>
      </c>
      <c r="E104" s="2" t="s">
        <v>102</v>
      </c>
      <c r="F104" s="2">
        <v>4554</v>
      </c>
      <c r="G104" s="2">
        <v>0</v>
      </c>
      <c r="H104" s="2">
        <v>2</v>
      </c>
      <c r="I104" s="2">
        <v>2</v>
      </c>
      <c r="J104" s="2" t="s">
        <v>169</v>
      </c>
      <c r="K104" s="2" t="s">
        <v>103</v>
      </c>
    </row>
    <row r="105" spans="1:11">
      <c r="A105" s="2">
        <v>1266</v>
      </c>
      <c r="B105" s="2" t="s">
        <v>223</v>
      </c>
      <c r="C105" s="2" t="s">
        <v>61</v>
      </c>
      <c r="D105" s="2" t="s">
        <v>49</v>
      </c>
      <c r="E105" s="2" t="s">
        <v>78</v>
      </c>
      <c r="F105" s="2">
        <v>9314</v>
      </c>
      <c r="G105" s="2">
        <v>6</v>
      </c>
      <c r="H105" s="2">
        <v>3</v>
      </c>
      <c r="I105" s="2">
        <v>4</v>
      </c>
      <c r="J105" s="2" t="s">
        <v>51</v>
      </c>
      <c r="K105" s="2" t="s">
        <v>41</v>
      </c>
    </row>
    <row r="107" spans="1:11">
      <c r="A107" s="2">
        <v>1228</v>
      </c>
      <c r="B107" s="2" t="s">
        <v>224</v>
      </c>
      <c r="C107" s="2" t="s">
        <v>225</v>
      </c>
      <c r="D107" s="2" t="s">
        <v>25</v>
      </c>
      <c r="E107" s="2" t="s">
        <v>148</v>
      </c>
      <c r="F107" s="2">
        <v>4135</v>
      </c>
      <c r="G107" s="2">
        <v>5</v>
      </c>
      <c r="H107" s="2">
        <v>4</v>
      </c>
      <c r="I107" s="2">
        <v>3</v>
      </c>
      <c r="J107" s="2" t="s">
        <v>35</v>
      </c>
      <c r="K107" s="2" t="s">
        <v>22</v>
      </c>
    </row>
    <row r="108" spans="1:11">
      <c r="A108" s="2">
        <v>1176</v>
      </c>
      <c r="B108" s="2" t="s">
        <v>226</v>
      </c>
      <c r="C108" s="2" t="s">
        <v>227</v>
      </c>
      <c r="D108" s="2" t="s">
        <v>13</v>
      </c>
      <c r="E108" s="2" t="s">
        <v>155</v>
      </c>
      <c r="F108" s="2">
        <v>13233</v>
      </c>
      <c r="G108" s="2">
        <v>10</v>
      </c>
      <c r="H108" s="2">
        <v>3</v>
      </c>
      <c r="I108" s="2">
        <v>4</v>
      </c>
      <c r="J108" s="2" t="s">
        <v>169</v>
      </c>
      <c r="K108" s="2" t="s">
        <v>51</v>
      </c>
    </row>
    <row r="109" spans="1:11">
      <c r="A109" s="2">
        <v>1029</v>
      </c>
      <c r="B109" s="2" t="s">
        <v>228</v>
      </c>
      <c r="C109" s="2"/>
      <c r="D109" s="2" t="s">
        <v>25</v>
      </c>
      <c r="E109" s="2" t="s">
        <v>38</v>
      </c>
      <c r="F109" s="2">
        <v>10747</v>
      </c>
      <c r="G109" s="2">
        <v>0</v>
      </c>
      <c r="H109" s="2">
        <v>4</v>
      </c>
      <c r="I109" s="2">
        <v>3</v>
      </c>
      <c r="J109" s="2" t="s">
        <v>169</v>
      </c>
      <c r="K109" s="2" t="s">
        <v>137</v>
      </c>
    </row>
    <row r="110" spans="1:11">
      <c r="A110" s="2">
        <v>1178</v>
      </c>
      <c r="B110" s="2" t="s">
        <v>229</v>
      </c>
      <c r="C110" s="2" t="s">
        <v>230</v>
      </c>
      <c r="D110" s="2" t="s">
        <v>49</v>
      </c>
      <c r="E110" s="2" t="s">
        <v>62</v>
      </c>
      <c r="F110" s="2">
        <v>10487</v>
      </c>
      <c r="G110" s="2">
        <v>17</v>
      </c>
      <c r="H110" s="2">
        <v>2</v>
      </c>
      <c r="I110" s="2">
        <v>4</v>
      </c>
      <c r="J110" s="2" t="s">
        <v>21</v>
      </c>
      <c r="K110" s="2" t="s">
        <v>41</v>
      </c>
    </row>
    <row r="111" spans="1:11">
      <c r="A111" s="2">
        <v>1109</v>
      </c>
      <c r="B111" s="2" t="s">
        <v>231</v>
      </c>
      <c r="C111" s="2" t="s">
        <v>65</v>
      </c>
      <c r="D111" s="2" t="s">
        <v>25</v>
      </c>
      <c r="E111" s="2" t="s">
        <v>148</v>
      </c>
      <c r="F111" s="2">
        <v>4111</v>
      </c>
      <c r="G111" s="2">
        <v>3</v>
      </c>
      <c r="H111" s="2">
        <v>3</v>
      </c>
      <c r="I111" s="2">
        <v>4</v>
      </c>
      <c r="J111" s="2" t="s">
        <v>131</v>
      </c>
      <c r="K111" s="2" t="s">
        <v>42</v>
      </c>
    </row>
    <row r="112" spans="1:11">
      <c r="A112" s="2">
        <v>1223</v>
      </c>
      <c r="B112" s="2" t="s">
        <v>232</v>
      </c>
      <c r="C112" s="2" t="s">
        <v>233</v>
      </c>
      <c r="D112" s="2" t="s">
        <v>49</v>
      </c>
      <c r="E112" s="2" t="s">
        <v>50</v>
      </c>
      <c r="F112" s="2">
        <v>5788</v>
      </c>
      <c r="G112" s="2">
        <v>7</v>
      </c>
      <c r="H112" s="2">
        <v>3</v>
      </c>
      <c r="I112" s="2">
        <v>4</v>
      </c>
      <c r="J112" s="2" t="s">
        <v>51</v>
      </c>
      <c r="K112" s="2" t="s">
        <v>103</v>
      </c>
    </row>
    <row r="113" spans="1:11">
      <c r="A113" s="2">
        <v>1114</v>
      </c>
      <c r="B113" s="2" t="s">
        <v>234</v>
      </c>
      <c r="C113" s="2" t="s">
        <v>76</v>
      </c>
      <c r="D113" s="2" t="s">
        <v>13</v>
      </c>
      <c r="E113" s="2" t="s">
        <v>14</v>
      </c>
      <c r="F113" s="2">
        <v>13074</v>
      </c>
      <c r="G113" s="2">
        <v>1</v>
      </c>
      <c r="H113" s="2">
        <v>4</v>
      </c>
      <c r="I113" s="2">
        <v>2</v>
      </c>
      <c r="J113" s="2" t="s">
        <v>66</v>
      </c>
      <c r="K113" s="2" t="s">
        <v>114</v>
      </c>
    </row>
    <row r="114" spans="1:11">
      <c r="A114" s="2">
        <v>1286</v>
      </c>
      <c r="B114" s="2" t="s">
        <v>235</v>
      </c>
      <c r="C114" s="2" t="s">
        <v>18</v>
      </c>
      <c r="D114" s="2" t="s">
        <v>19</v>
      </c>
      <c r="E114" s="2" t="s">
        <v>112</v>
      </c>
      <c r="F114" s="2">
        <v>10693</v>
      </c>
      <c r="G114" s="2">
        <v>9</v>
      </c>
      <c r="H114" s="2">
        <v>2</v>
      </c>
      <c r="I114" s="2">
        <v>3</v>
      </c>
      <c r="J114" s="2" t="s">
        <v>22</v>
      </c>
      <c r="K114" s="2" t="s">
        <v>103</v>
      </c>
    </row>
    <row r="115" spans="1:11">
      <c r="A115" s="2">
        <v>1105</v>
      </c>
      <c r="B115" s="2" t="s">
        <v>236</v>
      </c>
      <c r="C115" s="2" t="s">
        <v>233</v>
      </c>
      <c r="D115" s="2" t="s">
        <v>49</v>
      </c>
      <c r="E115" s="2" t="s">
        <v>62</v>
      </c>
      <c r="F115" s="2">
        <v>13770</v>
      </c>
      <c r="G115" s="2">
        <v>5</v>
      </c>
      <c r="H115" s="2">
        <v>4</v>
      </c>
      <c r="I115" s="2">
        <v>4</v>
      </c>
      <c r="J115" s="2" t="s">
        <v>66</v>
      </c>
      <c r="K115" s="2" t="s">
        <v>103</v>
      </c>
    </row>
    <row r="116" spans="1:11">
      <c r="A116" s="2">
        <v>1107</v>
      </c>
      <c r="B116" s="2" t="s">
        <v>237</v>
      </c>
      <c r="C116" s="2" t="s">
        <v>238</v>
      </c>
      <c r="D116" s="2" t="s">
        <v>49</v>
      </c>
      <c r="E116" s="2" t="s">
        <v>78</v>
      </c>
      <c r="F116" s="2">
        <v>10992</v>
      </c>
      <c r="G116" s="2">
        <v>13</v>
      </c>
      <c r="H116" s="2">
        <v>2</v>
      </c>
      <c r="I116" s="2">
        <v>2</v>
      </c>
      <c r="J116" s="2" t="s">
        <v>22</v>
      </c>
      <c r="K116" s="2" t="s">
        <v>103</v>
      </c>
    </row>
    <row r="117" spans="1:11">
      <c r="A117" s="2">
        <v>1038</v>
      </c>
      <c r="B117" s="2" t="s">
        <v>239</v>
      </c>
      <c r="C117" s="2" t="s">
        <v>55</v>
      </c>
      <c r="D117" s="2" t="s">
        <v>56</v>
      </c>
      <c r="E117" s="2" t="s">
        <v>59</v>
      </c>
      <c r="F117" s="2">
        <v>13226</v>
      </c>
      <c r="G117" s="2">
        <v>14</v>
      </c>
      <c r="H117" s="2">
        <v>2</v>
      </c>
      <c r="I117" s="2">
        <v>3</v>
      </c>
      <c r="J117" s="2" t="s">
        <v>21</v>
      </c>
      <c r="K117" s="2" t="s">
        <v>103</v>
      </c>
    </row>
    <row r="118" spans="1:11">
      <c r="A118" s="2">
        <v>1035</v>
      </c>
      <c r="B118" s="2" t="s">
        <v>240</v>
      </c>
      <c r="C118" s="2" t="s">
        <v>241</v>
      </c>
      <c r="D118" s="2" t="s">
        <v>56</v>
      </c>
      <c r="E118" s="2" t="s">
        <v>57</v>
      </c>
      <c r="F118" s="2">
        <v>11199</v>
      </c>
      <c r="G118" s="2">
        <v>12</v>
      </c>
      <c r="H118" s="2">
        <v>1</v>
      </c>
      <c r="I118" s="2">
        <v>4</v>
      </c>
      <c r="J118" s="2" t="s">
        <v>67</v>
      </c>
      <c r="K118" s="2" t="s">
        <v>95</v>
      </c>
    </row>
    <row r="119" spans="1:11">
      <c r="A119" s="2">
        <v>1147</v>
      </c>
      <c r="B119" s="2" t="s">
        <v>242</v>
      </c>
      <c r="C119" s="2" t="s">
        <v>33</v>
      </c>
      <c r="D119" s="2" t="s">
        <v>19</v>
      </c>
      <c r="E119" s="2" t="s">
        <v>34</v>
      </c>
      <c r="F119" s="2">
        <v>6573</v>
      </c>
      <c r="G119" s="2">
        <v>10</v>
      </c>
      <c r="H119" s="2">
        <v>1</v>
      </c>
      <c r="I119" s="2">
        <v>4</v>
      </c>
      <c r="J119" s="2" t="s">
        <v>124</v>
      </c>
      <c r="K119" s="2" t="s">
        <v>21</v>
      </c>
    </row>
    <row r="120" spans="1:11">
      <c r="A120" s="2">
        <v>1130</v>
      </c>
      <c r="B120" s="2" t="s">
        <v>243</v>
      </c>
      <c r="C120" s="2" t="s">
        <v>244</v>
      </c>
      <c r="D120" s="2" t="s">
        <v>13</v>
      </c>
      <c r="E120" s="2" t="s">
        <v>155</v>
      </c>
      <c r="F120" s="2">
        <v>6085</v>
      </c>
      <c r="G120" s="2">
        <v>5</v>
      </c>
      <c r="H120" s="2">
        <v>3</v>
      </c>
      <c r="I120" s="2">
        <v>3</v>
      </c>
      <c r="J120" s="2" t="s">
        <v>41</v>
      </c>
      <c r="K120" s="2" t="s">
        <v>124</v>
      </c>
    </row>
    <row r="121" spans="1:11">
      <c r="A121" s="2">
        <v>1078</v>
      </c>
      <c r="B121" s="2" t="s">
        <v>245</v>
      </c>
      <c r="C121" s="2" t="s">
        <v>142</v>
      </c>
      <c r="D121" s="2" t="s">
        <v>49</v>
      </c>
      <c r="E121" s="2" t="s">
        <v>50</v>
      </c>
      <c r="F121" s="2">
        <v>9365</v>
      </c>
      <c r="G121" s="2">
        <v>10</v>
      </c>
      <c r="H121" s="2">
        <v>1</v>
      </c>
      <c r="I121" s="2">
        <v>4</v>
      </c>
      <c r="J121" s="2" t="s">
        <v>51</v>
      </c>
      <c r="K121" s="2" t="s">
        <v>51</v>
      </c>
    </row>
    <row r="122" spans="1:11">
      <c r="A122" s="2">
        <v>1267</v>
      </c>
      <c r="B122" s="2" t="s">
        <v>246</v>
      </c>
      <c r="C122" s="2" t="s">
        <v>202</v>
      </c>
      <c r="D122" s="2" t="s">
        <v>29</v>
      </c>
      <c r="E122" s="2" t="s">
        <v>102</v>
      </c>
      <c r="F122" s="2">
        <v>5742</v>
      </c>
      <c r="G122" s="2">
        <v>0</v>
      </c>
      <c r="H122" s="2">
        <v>3</v>
      </c>
      <c r="I122" s="2">
        <v>3</v>
      </c>
      <c r="J122" s="2" t="s">
        <v>51</v>
      </c>
      <c r="K122" s="2" t="s">
        <v>63</v>
      </c>
    </row>
    <row r="123" spans="1:11">
      <c r="A123" s="2">
        <v>1191</v>
      </c>
      <c r="B123" s="2" t="s">
        <v>247</v>
      </c>
      <c r="C123" s="2" t="s">
        <v>248</v>
      </c>
      <c r="D123" s="2" t="s">
        <v>13</v>
      </c>
      <c r="E123" s="2" t="s">
        <v>44</v>
      </c>
      <c r="F123" s="2">
        <v>9204</v>
      </c>
      <c r="G123" s="2">
        <v>2</v>
      </c>
      <c r="H123" s="2">
        <v>3</v>
      </c>
      <c r="I123" s="2">
        <v>3</v>
      </c>
      <c r="J123" s="2" t="s">
        <v>39</v>
      </c>
      <c r="K123" s="2" t="s">
        <v>22</v>
      </c>
    </row>
    <row r="124" spans="1:11">
      <c r="A124" s="2">
        <v>1015</v>
      </c>
      <c r="B124" s="2" t="s">
        <v>249</v>
      </c>
      <c r="C124" s="2" t="s">
        <v>65</v>
      </c>
      <c r="D124" s="2" t="s">
        <v>25</v>
      </c>
      <c r="E124" s="2" t="s">
        <v>38</v>
      </c>
      <c r="F124" s="2">
        <v>5445</v>
      </c>
      <c r="G124" s="2">
        <v>7</v>
      </c>
      <c r="H124" s="2">
        <v>4</v>
      </c>
      <c r="I124" s="2">
        <v>3</v>
      </c>
      <c r="J124" s="2" t="s">
        <v>71</v>
      </c>
      <c r="K124" s="2" t="s">
        <v>41</v>
      </c>
    </row>
    <row r="125" spans="1:11">
      <c r="A125" s="2">
        <v>1104</v>
      </c>
      <c r="B125" s="2" t="s">
        <v>250</v>
      </c>
      <c r="C125" s="2" t="s">
        <v>150</v>
      </c>
      <c r="D125" s="2" t="s">
        <v>56</v>
      </c>
      <c r="E125" s="2" t="s">
        <v>57</v>
      </c>
      <c r="F125" s="2">
        <v>4810</v>
      </c>
      <c r="G125" s="2">
        <v>7</v>
      </c>
      <c r="H125" s="2">
        <v>2</v>
      </c>
      <c r="I125" s="2">
        <v>4</v>
      </c>
      <c r="J125" s="2" t="s">
        <v>109</v>
      </c>
      <c r="K125" s="2" t="s">
        <v>21</v>
      </c>
    </row>
    <row r="126" spans="1:11">
      <c r="A126" s="2">
        <v>1183</v>
      </c>
      <c r="B126" s="2" t="s">
        <v>251</v>
      </c>
      <c r="C126" s="2"/>
      <c r="D126" s="2" t="s">
        <v>49</v>
      </c>
      <c r="E126" s="2" t="s">
        <v>62</v>
      </c>
      <c r="F126" s="2">
        <v>5860</v>
      </c>
      <c r="G126" s="2">
        <v>0</v>
      </c>
      <c r="H126" s="2">
        <v>1</v>
      </c>
      <c r="I126" s="2">
        <v>3</v>
      </c>
      <c r="J126" s="2" t="s">
        <v>22</v>
      </c>
      <c r="K126" s="2" t="s">
        <v>131</v>
      </c>
    </row>
    <row r="127" spans="1:11">
      <c r="A127" s="2">
        <v>1190</v>
      </c>
      <c r="B127" s="2" t="s">
        <v>252</v>
      </c>
      <c r="C127" s="2" t="s">
        <v>163</v>
      </c>
      <c r="D127" s="2" t="s">
        <v>13</v>
      </c>
      <c r="E127" s="2" t="s">
        <v>155</v>
      </c>
      <c r="F127" s="2">
        <v>3453</v>
      </c>
      <c r="G127" s="2">
        <v>12</v>
      </c>
      <c r="H127" s="2">
        <v>3</v>
      </c>
      <c r="I127" s="2">
        <v>3</v>
      </c>
      <c r="J127" s="2" t="s">
        <v>67</v>
      </c>
      <c r="K127" s="2" t="s">
        <v>253</v>
      </c>
    </row>
    <row r="128" spans="1:11">
      <c r="A128" s="2">
        <v>1227</v>
      </c>
      <c r="B128" s="2" t="s">
        <v>195</v>
      </c>
      <c r="C128" s="2" t="s">
        <v>196</v>
      </c>
      <c r="D128" s="2" t="s">
        <v>49</v>
      </c>
      <c r="E128" s="2" t="s">
        <v>50</v>
      </c>
      <c r="F128" s="2">
        <v>5300</v>
      </c>
      <c r="G128" s="2">
        <v>5</v>
      </c>
      <c r="H128" s="2">
        <v>2</v>
      </c>
      <c r="I128" s="2">
        <v>4</v>
      </c>
      <c r="J128" s="2" t="s">
        <v>131</v>
      </c>
      <c r="K128" s="2" t="s">
        <v>22</v>
      </c>
    </row>
    <row r="129" spans="1:11">
      <c r="A129" s="2">
        <v>1154</v>
      </c>
      <c r="B129" s="2" t="s">
        <v>192</v>
      </c>
      <c r="C129" s="2" t="s">
        <v>193</v>
      </c>
      <c r="D129" s="2" t="s">
        <v>56</v>
      </c>
      <c r="E129" s="2" t="s">
        <v>85</v>
      </c>
      <c r="F129" s="2">
        <v>3286</v>
      </c>
      <c r="G129" s="2">
        <v>8</v>
      </c>
      <c r="H129" s="2">
        <v>3</v>
      </c>
      <c r="I129" s="2">
        <v>3</v>
      </c>
      <c r="J129" s="2" t="s">
        <v>22</v>
      </c>
      <c r="K129" s="2" t="s">
        <v>109</v>
      </c>
    </row>
    <row r="130" spans="1:11">
      <c r="A130" s="2">
        <v>1205</v>
      </c>
      <c r="B130" s="2" t="s">
        <v>254</v>
      </c>
      <c r="C130" s="2" t="s">
        <v>202</v>
      </c>
      <c r="D130" s="2" t="s">
        <v>29</v>
      </c>
      <c r="E130" s="2" t="s">
        <v>30</v>
      </c>
      <c r="F130" s="2">
        <v>9065</v>
      </c>
      <c r="G130" s="2">
        <v>1</v>
      </c>
      <c r="H130" s="2">
        <v>2</v>
      </c>
      <c r="I130" s="2">
        <v>3</v>
      </c>
      <c r="J130" s="2" t="s">
        <v>21</v>
      </c>
      <c r="K130" s="2" t="s">
        <v>63</v>
      </c>
    </row>
    <row r="131" spans="1:11">
      <c r="A131" s="2">
        <v>1235</v>
      </c>
      <c r="B131" s="2" t="s">
        <v>255</v>
      </c>
      <c r="C131" s="2" t="s">
        <v>256</v>
      </c>
      <c r="D131" s="2" t="s">
        <v>13</v>
      </c>
      <c r="E131" s="2" t="s">
        <v>14</v>
      </c>
      <c r="F131" s="2">
        <v>8005</v>
      </c>
      <c r="G131" s="2">
        <v>16</v>
      </c>
      <c r="H131" s="2">
        <v>1</v>
      </c>
      <c r="I131" s="2">
        <v>4</v>
      </c>
      <c r="J131" s="2" t="s">
        <v>66</v>
      </c>
      <c r="K131" s="2" t="s">
        <v>51</v>
      </c>
    </row>
    <row r="132" spans="1:11">
      <c r="A132" s="2">
        <v>1095</v>
      </c>
      <c r="B132" s="2" t="s">
        <v>257</v>
      </c>
      <c r="C132" s="2" t="s">
        <v>258</v>
      </c>
      <c r="D132" s="2" t="s">
        <v>25</v>
      </c>
      <c r="E132" s="2" t="s">
        <v>38</v>
      </c>
      <c r="F132" s="2">
        <v>14313</v>
      </c>
      <c r="G132" s="2">
        <v>11</v>
      </c>
      <c r="H132" s="2">
        <v>1</v>
      </c>
      <c r="I132" s="2">
        <v>4</v>
      </c>
      <c r="J132" s="2" t="s">
        <v>66</v>
      </c>
      <c r="K132" s="2" t="s">
        <v>42</v>
      </c>
    </row>
    <row r="133" spans="1:11">
      <c r="A133" s="2">
        <v>1218</v>
      </c>
      <c r="B133" s="2" t="s">
        <v>259</v>
      </c>
      <c r="C133" s="2" t="s">
        <v>83</v>
      </c>
      <c r="D133" s="2" t="s">
        <v>56</v>
      </c>
      <c r="E133" s="2" t="s">
        <v>85</v>
      </c>
      <c r="F133" s="2">
        <v>10012</v>
      </c>
      <c r="G133" s="2">
        <v>5</v>
      </c>
      <c r="H133" s="2">
        <v>3</v>
      </c>
      <c r="I133" s="2">
        <v>3</v>
      </c>
      <c r="J133" s="2" t="s">
        <v>74</v>
      </c>
      <c r="K133" s="2" t="s">
        <v>22</v>
      </c>
    </row>
    <row r="134" spans="1:11">
      <c r="A134" s="2">
        <v>1142</v>
      </c>
      <c r="B134" s="2" t="s">
        <v>260</v>
      </c>
      <c r="C134" s="2" t="s">
        <v>261</v>
      </c>
      <c r="D134" s="2" t="s">
        <v>25</v>
      </c>
      <c r="E134" s="2" t="s">
        <v>26</v>
      </c>
      <c r="F134" s="2">
        <v>7869</v>
      </c>
      <c r="G134" s="2">
        <v>0</v>
      </c>
      <c r="H134" s="2">
        <v>4</v>
      </c>
      <c r="I134" s="2">
        <v>4</v>
      </c>
      <c r="J134" s="2" t="s">
        <v>51</v>
      </c>
      <c r="K134" s="2" t="s">
        <v>21</v>
      </c>
    </row>
    <row r="135" spans="1:11">
      <c r="A135" s="2">
        <v>1186</v>
      </c>
      <c r="B135" s="2" t="s">
        <v>262</v>
      </c>
      <c r="C135" s="2" t="s">
        <v>101</v>
      </c>
      <c r="D135" s="2" t="s">
        <v>29</v>
      </c>
      <c r="E135" s="2" t="s">
        <v>30</v>
      </c>
      <c r="F135" s="2">
        <v>6058</v>
      </c>
      <c r="G135" s="2">
        <v>11</v>
      </c>
      <c r="H135" s="2">
        <v>1</v>
      </c>
      <c r="I135" s="2">
        <v>2</v>
      </c>
      <c r="J135" s="2" t="s">
        <v>21</v>
      </c>
      <c r="K135" s="2" t="s">
        <v>66</v>
      </c>
    </row>
    <row r="136" spans="1:11">
      <c r="A136" s="2">
        <v>1011</v>
      </c>
      <c r="B136" s="2" t="s">
        <v>263</v>
      </c>
      <c r="C136" s="2" t="s">
        <v>69</v>
      </c>
      <c r="D136" s="2" t="s">
        <v>29</v>
      </c>
      <c r="E136" s="2" t="s">
        <v>30</v>
      </c>
      <c r="F136" s="2">
        <v>11917</v>
      </c>
      <c r="G136" s="2">
        <v>16</v>
      </c>
      <c r="H136" s="2">
        <v>1</v>
      </c>
      <c r="I136" s="2">
        <v>4</v>
      </c>
      <c r="J136" s="2" t="s">
        <v>264</v>
      </c>
      <c r="K136" s="2" t="s">
        <v>107</v>
      </c>
    </row>
    <row r="137" spans="1:11">
      <c r="A137" s="2">
        <v>1168</v>
      </c>
      <c r="B137" s="2" t="s">
        <v>265</v>
      </c>
      <c r="C137" s="2" t="s">
        <v>83</v>
      </c>
      <c r="D137" s="2" t="s">
        <v>56</v>
      </c>
      <c r="E137" s="2" t="s">
        <v>57</v>
      </c>
      <c r="F137" s="2">
        <v>6793</v>
      </c>
      <c r="G137" s="2">
        <v>4</v>
      </c>
      <c r="H137" s="2">
        <v>3</v>
      </c>
      <c r="I137" s="2">
        <v>4</v>
      </c>
      <c r="J137" s="2" t="s">
        <v>92</v>
      </c>
      <c r="K137" s="2" t="s">
        <v>21</v>
      </c>
    </row>
    <row r="138" spans="1:11">
      <c r="A138" s="2">
        <v>1090</v>
      </c>
      <c r="B138" s="2" t="s">
        <v>266</v>
      </c>
      <c r="C138" s="2" t="s">
        <v>267</v>
      </c>
      <c r="D138" s="2" t="s">
        <v>19</v>
      </c>
      <c r="E138" s="2" t="s">
        <v>112</v>
      </c>
      <c r="F138" s="2">
        <v>11892</v>
      </c>
      <c r="G138" s="2">
        <v>13</v>
      </c>
      <c r="H138" s="2">
        <v>2</v>
      </c>
      <c r="I138" s="2">
        <v>4</v>
      </c>
      <c r="J138" s="2" t="s">
        <v>71</v>
      </c>
      <c r="K138" s="2" t="s">
        <v>71</v>
      </c>
    </row>
    <row r="139" spans="1:11">
      <c r="A139" s="2">
        <v>1006</v>
      </c>
      <c r="B139" s="2" t="s">
        <v>268</v>
      </c>
      <c r="C139" s="2" t="s">
        <v>269</v>
      </c>
      <c r="D139" s="2" t="s">
        <v>19</v>
      </c>
      <c r="E139" s="2" t="s">
        <v>112</v>
      </c>
      <c r="F139" s="2">
        <v>11591</v>
      </c>
      <c r="G139" s="2">
        <v>5</v>
      </c>
      <c r="H139" s="2">
        <v>1</v>
      </c>
      <c r="I139" s="2">
        <v>1</v>
      </c>
      <c r="J139" s="2" t="s">
        <v>66</v>
      </c>
      <c r="K139" s="2" t="s">
        <v>67</v>
      </c>
    </row>
    <row r="140" spans="1:11">
      <c r="A140" s="2">
        <v>1099</v>
      </c>
      <c r="B140" s="2" t="s">
        <v>270</v>
      </c>
      <c r="C140" s="2" t="s">
        <v>271</v>
      </c>
      <c r="D140" s="2" t="s">
        <v>29</v>
      </c>
      <c r="E140" s="2" t="s">
        <v>102</v>
      </c>
      <c r="F140" s="2">
        <v>3628</v>
      </c>
      <c r="G140" s="2">
        <v>14</v>
      </c>
      <c r="H140" s="2">
        <v>2</v>
      </c>
      <c r="I140" s="2">
        <v>3</v>
      </c>
      <c r="J140" s="2" t="s">
        <v>219</v>
      </c>
      <c r="K140" s="2" t="s">
        <v>22</v>
      </c>
    </row>
    <row r="141" spans="1:11">
      <c r="A141" s="2">
        <v>1146</v>
      </c>
      <c r="B141" s="2" t="s">
        <v>272</v>
      </c>
      <c r="C141" s="2" t="s">
        <v>55</v>
      </c>
      <c r="D141" s="2" t="s">
        <v>56</v>
      </c>
      <c r="E141" s="2" t="s">
        <v>57</v>
      </c>
      <c r="F141" s="2">
        <v>13875</v>
      </c>
      <c r="G141" s="2">
        <v>15</v>
      </c>
      <c r="H141" s="2">
        <v>1</v>
      </c>
      <c r="I141" s="2">
        <v>1</v>
      </c>
      <c r="J141" s="2" t="s">
        <v>63</v>
      </c>
      <c r="K141" s="2" t="s">
        <v>51</v>
      </c>
    </row>
    <row r="142" spans="1:11">
      <c r="A142" s="2">
        <v>1189</v>
      </c>
      <c r="B142" s="2" t="s">
        <v>273</v>
      </c>
      <c r="C142" s="2" t="s">
        <v>111</v>
      </c>
      <c r="D142" s="2" t="s">
        <v>19</v>
      </c>
      <c r="E142" s="2" t="s">
        <v>20</v>
      </c>
      <c r="F142" s="2">
        <v>3074</v>
      </c>
      <c r="G142" s="2">
        <v>3</v>
      </c>
      <c r="H142" s="2">
        <v>3</v>
      </c>
      <c r="I142" s="2">
        <v>3</v>
      </c>
      <c r="J142" s="2" t="s">
        <v>16</v>
      </c>
      <c r="K142" s="2" t="s">
        <v>74</v>
      </c>
    </row>
    <row r="143" spans="1:11">
      <c r="A143" s="2">
        <v>1120</v>
      </c>
      <c r="B143" s="2" t="s">
        <v>274</v>
      </c>
      <c r="C143" s="2" t="s">
        <v>275</v>
      </c>
      <c r="D143" s="2" t="s">
        <v>56</v>
      </c>
      <c r="E143" s="2" t="s">
        <v>59</v>
      </c>
      <c r="F143" s="2">
        <v>11697</v>
      </c>
      <c r="G143" s="2">
        <v>0</v>
      </c>
      <c r="H143" s="2">
        <v>3</v>
      </c>
      <c r="I143" s="2">
        <v>4</v>
      </c>
      <c r="J143" s="2" t="s">
        <v>71</v>
      </c>
      <c r="K143" s="2" t="s">
        <v>103</v>
      </c>
    </row>
    <row r="144" spans="1:11">
      <c r="A144" s="2">
        <v>1131</v>
      </c>
      <c r="B144" s="2" t="s">
        <v>276</v>
      </c>
      <c r="C144" s="2"/>
      <c r="D144" s="2" t="s">
        <v>25</v>
      </c>
      <c r="E144" s="2" t="s">
        <v>38</v>
      </c>
      <c r="F144" s="2">
        <v>7686</v>
      </c>
      <c r="G144" s="2">
        <v>11</v>
      </c>
      <c r="H144" s="2">
        <v>2</v>
      </c>
      <c r="I144" s="2">
        <v>1</v>
      </c>
      <c r="J144" s="2" t="s">
        <v>214</v>
      </c>
      <c r="K144" s="2" t="s">
        <v>22</v>
      </c>
    </row>
    <row r="145" spans="1:11">
      <c r="A145" s="2">
        <v>1030</v>
      </c>
      <c r="B145" s="2" t="s">
        <v>277</v>
      </c>
      <c r="C145" s="2" t="s">
        <v>61</v>
      </c>
      <c r="D145" s="2" t="s">
        <v>49</v>
      </c>
      <c r="E145" s="2" t="s">
        <v>62</v>
      </c>
      <c r="F145" s="2">
        <v>9003</v>
      </c>
      <c r="G145" s="2">
        <v>12</v>
      </c>
      <c r="H145" s="2">
        <v>3</v>
      </c>
      <c r="I145" s="2">
        <v>3</v>
      </c>
      <c r="J145" s="2" t="s">
        <v>74</v>
      </c>
      <c r="K145" s="2" t="s">
        <v>22</v>
      </c>
    </row>
    <row r="146" spans="1:11">
      <c r="A146" s="2">
        <v>1075</v>
      </c>
      <c r="B146" s="2" t="s">
        <v>278</v>
      </c>
      <c r="C146" s="2" t="s">
        <v>271</v>
      </c>
      <c r="D146" s="2" t="s">
        <v>29</v>
      </c>
      <c r="E146" s="2" t="s">
        <v>30</v>
      </c>
      <c r="F146" s="2">
        <v>11294</v>
      </c>
      <c r="G146" s="2">
        <v>10</v>
      </c>
      <c r="H146" s="2">
        <v>3</v>
      </c>
      <c r="I146" s="2">
        <v>3</v>
      </c>
      <c r="J146" s="2" t="s">
        <v>67</v>
      </c>
      <c r="K146" s="2" t="s">
        <v>39</v>
      </c>
    </row>
    <row r="147" spans="1:11">
      <c r="A147" s="2">
        <v>1080</v>
      </c>
      <c r="B147" s="2" t="s">
        <v>279</v>
      </c>
      <c r="C147" s="2" t="s">
        <v>198</v>
      </c>
      <c r="D147" s="2" t="s">
        <v>19</v>
      </c>
      <c r="E147" s="2" t="s">
        <v>20</v>
      </c>
      <c r="F147" s="2">
        <v>4184</v>
      </c>
      <c r="G147" s="2">
        <v>0</v>
      </c>
      <c r="H147" s="2">
        <v>3</v>
      </c>
      <c r="I147" s="2">
        <v>2</v>
      </c>
      <c r="J147" s="2" t="s">
        <v>51</v>
      </c>
      <c r="K147" s="2" t="s">
        <v>103</v>
      </c>
    </row>
    <row r="148" spans="1:11">
      <c r="A148" s="2">
        <v>1033</v>
      </c>
      <c r="B148" s="2" t="s">
        <v>280</v>
      </c>
      <c r="C148" s="2" t="s">
        <v>130</v>
      </c>
      <c r="D148" s="2" t="s">
        <v>19</v>
      </c>
      <c r="E148" s="2" t="s">
        <v>34</v>
      </c>
      <c r="F148" s="2">
        <v>8137</v>
      </c>
      <c r="G148" s="2">
        <v>11</v>
      </c>
      <c r="H148" s="2">
        <v>1</v>
      </c>
      <c r="I148" s="2">
        <v>3</v>
      </c>
      <c r="J148" s="2" t="s">
        <v>169</v>
      </c>
      <c r="K148" s="2" t="s">
        <v>51</v>
      </c>
    </row>
    <row r="149" spans="1:11">
      <c r="A149" s="2">
        <v>1121</v>
      </c>
      <c r="B149" s="2" t="s">
        <v>281</v>
      </c>
      <c r="C149" s="2" t="s">
        <v>83</v>
      </c>
      <c r="D149" s="2" t="s">
        <v>56</v>
      </c>
      <c r="E149" s="2" t="s">
        <v>57</v>
      </c>
      <c r="F149" s="2">
        <v>9046</v>
      </c>
      <c r="G149" s="2">
        <v>0</v>
      </c>
      <c r="H149" s="2">
        <v>3</v>
      </c>
      <c r="I149" s="2">
        <v>4</v>
      </c>
      <c r="J149" s="2" t="s">
        <v>169</v>
      </c>
      <c r="K149" s="2" t="s">
        <v>67</v>
      </c>
    </row>
    <row r="150" spans="1:11">
      <c r="A150" s="2">
        <v>1263</v>
      </c>
      <c r="B150" s="2" t="s">
        <v>282</v>
      </c>
      <c r="C150" s="2" t="s">
        <v>233</v>
      </c>
      <c r="D150" s="2" t="s">
        <v>49</v>
      </c>
      <c r="E150" s="2" t="s">
        <v>78</v>
      </c>
      <c r="F150" s="2">
        <v>10138</v>
      </c>
      <c r="G150" s="2">
        <v>13</v>
      </c>
      <c r="H150" s="2">
        <v>1</v>
      </c>
      <c r="I150" s="2">
        <v>4</v>
      </c>
      <c r="J150" s="2" t="s">
        <v>39</v>
      </c>
      <c r="K150" s="2" t="s">
        <v>114</v>
      </c>
    </row>
    <row r="151" spans="1:11">
      <c r="A151" s="2">
        <v>1293</v>
      </c>
      <c r="B151" s="2" t="s">
        <v>283</v>
      </c>
      <c r="C151" s="2" t="s">
        <v>198</v>
      </c>
      <c r="D151" s="2" t="s">
        <v>19</v>
      </c>
      <c r="E151" s="2" t="s">
        <v>112</v>
      </c>
      <c r="F151" s="2">
        <v>8278</v>
      </c>
      <c r="G151" s="2">
        <v>4</v>
      </c>
      <c r="H151" s="2">
        <v>2</v>
      </c>
      <c r="I151" s="2">
        <v>3</v>
      </c>
      <c r="J151" s="2" t="s">
        <v>21</v>
      </c>
      <c r="K151" s="2" t="s">
        <v>21</v>
      </c>
    </row>
    <row r="152" spans="1:11">
      <c r="A152" s="2">
        <v>1150</v>
      </c>
      <c r="B152" s="2" t="s">
        <v>284</v>
      </c>
      <c r="C152" s="2" t="s">
        <v>285</v>
      </c>
      <c r="D152" s="2" t="s">
        <v>49</v>
      </c>
      <c r="E152" s="2" t="s">
        <v>50</v>
      </c>
      <c r="F152" s="2">
        <v>4902</v>
      </c>
      <c r="G152" s="2">
        <v>8</v>
      </c>
      <c r="H152" s="2">
        <v>4</v>
      </c>
      <c r="I152" s="2">
        <v>3</v>
      </c>
      <c r="J152" s="2" t="s">
        <v>286</v>
      </c>
      <c r="K152" s="2" t="s">
        <v>22</v>
      </c>
    </row>
    <row r="153" spans="1:11">
      <c r="A153" s="2">
        <v>1134</v>
      </c>
      <c r="B153" s="2" t="s">
        <v>287</v>
      </c>
      <c r="C153" s="2" t="s">
        <v>288</v>
      </c>
      <c r="D153" s="2" t="s">
        <v>56</v>
      </c>
      <c r="E153" s="2" t="s">
        <v>57</v>
      </c>
      <c r="F153" s="2">
        <v>12497</v>
      </c>
      <c r="G153" s="2">
        <v>5</v>
      </c>
      <c r="H153" s="2">
        <v>4</v>
      </c>
      <c r="I153" s="2">
        <v>4</v>
      </c>
      <c r="J153" s="2" t="s">
        <v>109</v>
      </c>
      <c r="K153" s="2" t="s">
        <v>71</v>
      </c>
    </row>
    <row r="154" spans="1:11">
      <c r="A154" s="2">
        <v>1054</v>
      </c>
      <c r="B154" s="2" t="s">
        <v>289</v>
      </c>
      <c r="C154" s="2" t="s">
        <v>76</v>
      </c>
      <c r="D154" s="2" t="s">
        <v>13</v>
      </c>
      <c r="E154" s="2" t="s">
        <v>155</v>
      </c>
      <c r="F154" s="2">
        <v>9355</v>
      </c>
      <c r="G154" s="2">
        <v>1</v>
      </c>
      <c r="H154" s="2">
        <v>4</v>
      </c>
      <c r="I154" s="2">
        <v>2</v>
      </c>
      <c r="J154" s="2" t="s">
        <v>22</v>
      </c>
      <c r="K154" s="2" t="s">
        <v>21</v>
      </c>
    </row>
    <row r="155" spans="1:11">
      <c r="A155" s="2">
        <v>1171</v>
      </c>
      <c r="B155" s="2" t="s">
        <v>290</v>
      </c>
      <c r="C155" s="2" t="s">
        <v>291</v>
      </c>
      <c r="D155" s="2" t="s">
        <v>19</v>
      </c>
      <c r="E155" s="2" t="s">
        <v>20</v>
      </c>
      <c r="F155" s="2">
        <v>13709</v>
      </c>
      <c r="G155" s="2">
        <v>13</v>
      </c>
      <c r="H155" s="2">
        <v>1</v>
      </c>
      <c r="I155" s="2">
        <v>4</v>
      </c>
      <c r="J155" s="2" t="s">
        <v>31</v>
      </c>
      <c r="K155" s="2" t="s">
        <v>286</v>
      </c>
    </row>
    <row r="156" spans="1:11">
      <c r="A156" s="2">
        <v>1110</v>
      </c>
      <c r="B156" s="2" t="s">
        <v>292</v>
      </c>
      <c r="C156" s="2" t="s">
        <v>24</v>
      </c>
      <c r="D156" s="2" t="s">
        <v>25</v>
      </c>
      <c r="E156" s="2" t="s">
        <v>148</v>
      </c>
      <c r="F156" s="2">
        <v>3596</v>
      </c>
      <c r="G156" s="2">
        <v>5</v>
      </c>
      <c r="H156" s="2">
        <v>1</v>
      </c>
      <c r="I156" s="2">
        <v>4</v>
      </c>
      <c r="J156" s="2" t="s">
        <v>41</v>
      </c>
      <c r="K156" s="2" t="s">
        <v>103</v>
      </c>
    </row>
    <row r="157" spans="1:11">
      <c r="A157" s="2">
        <v>1013</v>
      </c>
      <c r="B157" s="2" t="s">
        <v>161</v>
      </c>
      <c r="C157" s="2" t="s">
        <v>120</v>
      </c>
      <c r="D157" s="2" t="s">
        <v>29</v>
      </c>
      <c r="E157" s="2" t="s">
        <v>102</v>
      </c>
      <c r="F157" s="2">
        <v>11247</v>
      </c>
      <c r="G157" s="2">
        <v>2</v>
      </c>
      <c r="H157" s="2">
        <v>3</v>
      </c>
      <c r="I157" s="2">
        <v>3</v>
      </c>
      <c r="J157" s="2" t="s">
        <v>131</v>
      </c>
      <c r="K157" s="2" t="s">
        <v>21</v>
      </c>
    </row>
    <row r="158" spans="1:11">
      <c r="A158" s="2">
        <v>1195</v>
      </c>
      <c r="B158" s="2" t="s">
        <v>293</v>
      </c>
      <c r="C158" s="2" t="s">
        <v>69</v>
      </c>
      <c r="D158" s="2" t="s">
        <v>29</v>
      </c>
      <c r="E158" s="2" t="s">
        <v>102</v>
      </c>
      <c r="F158" s="2">
        <v>9374</v>
      </c>
      <c r="G158" s="2">
        <v>4</v>
      </c>
      <c r="H158" s="2">
        <v>4</v>
      </c>
      <c r="I158" s="2">
        <v>4</v>
      </c>
      <c r="J158" s="2" t="s">
        <v>39</v>
      </c>
      <c r="K158" s="2" t="s">
        <v>22</v>
      </c>
    </row>
    <row r="159" spans="1:11">
      <c r="A159" s="2">
        <v>1213</v>
      </c>
      <c r="B159" s="2" t="s">
        <v>294</v>
      </c>
      <c r="C159" s="2" t="s">
        <v>198</v>
      </c>
      <c r="D159" s="2" t="s">
        <v>19</v>
      </c>
      <c r="E159" s="2" t="s">
        <v>20</v>
      </c>
      <c r="F159" s="2">
        <v>5418</v>
      </c>
      <c r="G159" s="2">
        <v>8</v>
      </c>
      <c r="H159" s="2">
        <v>2</v>
      </c>
      <c r="I159" s="2">
        <v>3</v>
      </c>
      <c r="J159" s="2" t="s">
        <v>21</v>
      </c>
      <c r="K159" s="2" t="s">
        <v>115</v>
      </c>
    </row>
    <row r="160" spans="1:11">
      <c r="A160" s="2">
        <v>1125</v>
      </c>
      <c r="B160" s="2" t="s">
        <v>295</v>
      </c>
      <c r="C160" s="2" t="s">
        <v>83</v>
      </c>
      <c r="D160" s="2" t="s">
        <v>56</v>
      </c>
      <c r="E160" s="2" t="s">
        <v>59</v>
      </c>
      <c r="F160" s="2">
        <v>14121</v>
      </c>
      <c r="G160" s="2">
        <v>7</v>
      </c>
      <c r="H160" s="2">
        <v>2</v>
      </c>
      <c r="I160" s="2">
        <v>2</v>
      </c>
      <c r="J160" s="2" t="s">
        <v>15</v>
      </c>
      <c r="K160" s="2" t="s">
        <v>42</v>
      </c>
    </row>
    <row r="161" spans="1:11">
      <c r="A161" s="2">
        <v>1025</v>
      </c>
      <c r="B161" s="2" t="s">
        <v>296</v>
      </c>
      <c r="C161" s="2" t="s">
        <v>297</v>
      </c>
      <c r="D161" s="2" t="s">
        <v>56</v>
      </c>
      <c r="E161" s="2" t="s">
        <v>57</v>
      </c>
      <c r="F161" s="2">
        <v>6717</v>
      </c>
      <c r="G161" s="2">
        <v>0</v>
      </c>
      <c r="H161" s="2">
        <v>2</v>
      </c>
      <c r="I161" s="2">
        <v>4</v>
      </c>
      <c r="J161" s="2" t="s">
        <v>51</v>
      </c>
      <c r="K161" s="2" t="s">
        <v>45</v>
      </c>
    </row>
    <row r="162" spans="1:11">
      <c r="A162" s="2">
        <v>1022</v>
      </c>
      <c r="B162" s="2" t="s">
        <v>298</v>
      </c>
      <c r="C162" s="2" t="s">
        <v>24</v>
      </c>
      <c r="D162" s="2" t="s">
        <v>25</v>
      </c>
      <c r="E162" s="2" t="s">
        <v>26</v>
      </c>
      <c r="F162" s="2">
        <v>10764</v>
      </c>
      <c r="G162" s="2">
        <v>10</v>
      </c>
      <c r="H162" s="2">
        <v>2</v>
      </c>
      <c r="I162" s="2">
        <v>4</v>
      </c>
      <c r="J162" s="2" t="s">
        <v>66</v>
      </c>
      <c r="K162" s="2" t="s">
        <v>21</v>
      </c>
    </row>
    <row r="163" spans="1:11">
      <c r="A163" s="2">
        <v>1285</v>
      </c>
      <c r="B163" s="2" t="s">
        <v>299</v>
      </c>
      <c r="C163" s="2" t="s">
        <v>300</v>
      </c>
      <c r="D163" s="2" t="s">
        <v>19</v>
      </c>
      <c r="E163" s="2" t="s">
        <v>20</v>
      </c>
      <c r="F163" s="2">
        <v>4058</v>
      </c>
      <c r="G163" s="2">
        <v>10</v>
      </c>
      <c r="H163" s="2">
        <v>2</v>
      </c>
      <c r="I163" s="2">
        <v>4</v>
      </c>
      <c r="J163" s="2" t="s">
        <v>131</v>
      </c>
      <c r="K163" s="2" t="s">
        <v>21</v>
      </c>
    </row>
    <row r="164" spans="1:11">
      <c r="A164" s="2">
        <v>1290</v>
      </c>
      <c r="B164" s="2" t="s">
        <v>301</v>
      </c>
      <c r="C164" s="2" t="s">
        <v>130</v>
      </c>
      <c r="D164" s="2" t="s">
        <v>19</v>
      </c>
      <c r="E164" s="2" t="s">
        <v>20</v>
      </c>
      <c r="F164" s="2">
        <v>11477</v>
      </c>
      <c r="G164" s="2">
        <v>5</v>
      </c>
      <c r="H164" s="2">
        <v>4</v>
      </c>
      <c r="I164" s="2">
        <v>4</v>
      </c>
      <c r="J164" s="2" t="s">
        <v>51</v>
      </c>
      <c r="K164" s="2" t="s">
        <v>22</v>
      </c>
    </row>
    <row r="165" spans="1:11">
      <c r="A165" s="2">
        <v>1240</v>
      </c>
      <c r="B165" s="2" t="s">
        <v>302</v>
      </c>
      <c r="C165" s="2" t="s">
        <v>172</v>
      </c>
      <c r="D165" s="2" t="s">
        <v>49</v>
      </c>
      <c r="E165" s="2" t="s">
        <v>78</v>
      </c>
      <c r="F165" s="2">
        <v>11448</v>
      </c>
      <c r="G165" s="2">
        <v>6</v>
      </c>
      <c r="H165" s="2">
        <v>2</v>
      </c>
      <c r="I165" s="2">
        <v>4</v>
      </c>
      <c r="J165" s="2" t="s">
        <v>31</v>
      </c>
      <c r="K165" s="2" t="s">
        <v>21</v>
      </c>
    </row>
    <row r="166" spans="1:11">
      <c r="A166" s="2">
        <v>1269</v>
      </c>
      <c r="B166" s="2" t="s">
        <v>303</v>
      </c>
      <c r="C166" s="2" t="s">
        <v>244</v>
      </c>
      <c r="D166" s="2" t="s">
        <v>13</v>
      </c>
      <c r="E166" s="2" t="s">
        <v>155</v>
      </c>
      <c r="F166" s="2">
        <v>11618</v>
      </c>
      <c r="G166" s="2">
        <v>11</v>
      </c>
      <c r="H166" s="2">
        <v>3</v>
      </c>
      <c r="I166" s="2">
        <v>4</v>
      </c>
      <c r="J166" s="2" t="s">
        <v>31</v>
      </c>
      <c r="K166" s="2" t="s">
        <v>21</v>
      </c>
    </row>
    <row r="168" spans="1:11">
      <c r="A168" s="2">
        <v>1123</v>
      </c>
      <c r="B168" s="2" t="s">
        <v>304</v>
      </c>
      <c r="C168" s="2" t="s">
        <v>12</v>
      </c>
      <c r="D168" s="2" t="s">
        <v>13</v>
      </c>
      <c r="E168" s="2" t="s">
        <v>44</v>
      </c>
      <c r="F168" s="2">
        <v>13419</v>
      </c>
      <c r="G168" s="2">
        <v>4</v>
      </c>
      <c r="H168" s="2">
        <v>2</v>
      </c>
      <c r="I168" s="2">
        <v>2</v>
      </c>
      <c r="J168" s="2" t="s">
        <v>22</v>
      </c>
      <c r="K168" s="2" t="s">
        <v>45</v>
      </c>
    </row>
    <row r="170" spans="1:11">
      <c r="A170" s="2">
        <v>1070</v>
      </c>
      <c r="B170" s="2" t="s">
        <v>305</v>
      </c>
      <c r="C170" s="2" t="s">
        <v>267</v>
      </c>
      <c r="D170" s="2" t="s">
        <v>19</v>
      </c>
      <c r="E170" s="2" t="s">
        <v>112</v>
      </c>
      <c r="F170" s="2">
        <v>13296</v>
      </c>
      <c r="G170" s="2">
        <v>6</v>
      </c>
      <c r="H170" s="2">
        <v>1</v>
      </c>
      <c r="I170" s="2">
        <v>3</v>
      </c>
      <c r="J170" s="2" t="s">
        <v>71</v>
      </c>
      <c r="K170" s="2" t="s">
        <v>71</v>
      </c>
    </row>
    <row r="171" spans="1:11">
      <c r="A171" s="2">
        <v>1018</v>
      </c>
      <c r="B171" s="2" t="s">
        <v>306</v>
      </c>
      <c r="C171" s="2" t="s">
        <v>33</v>
      </c>
      <c r="D171" s="2" t="s">
        <v>19</v>
      </c>
      <c r="E171" s="2" t="s">
        <v>112</v>
      </c>
      <c r="F171" s="2">
        <v>13573</v>
      </c>
      <c r="G171" s="2">
        <v>8</v>
      </c>
      <c r="H171" s="2">
        <v>4</v>
      </c>
      <c r="I171" s="2">
        <v>3</v>
      </c>
      <c r="J171" s="2" t="s">
        <v>22</v>
      </c>
      <c r="K171" s="2" t="s">
        <v>67</v>
      </c>
    </row>
    <row r="172" spans="1:11">
      <c r="A172" s="2">
        <v>1098</v>
      </c>
      <c r="B172" s="2" t="s">
        <v>307</v>
      </c>
      <c r="C172" s="2" t="s">
        <v>127</v>
      </c>
      <c r="D172" s="2" t="s">
        <v>29</v>
      </c>
      <c r="E172" s="2" t="s">
        <v>30</v>
      </c>
      <c r="F172" s="2">
        <v>4080</v>
      </c>
      <c r="G172" s="2">
        <v>5</v>
      </c>
      <c r="H172" s="2">
        <v>2</v>
      </c>
      <c r="I172" s="2">
        <v>4</v>
      </c>
      <c r="J172" s="2" t="s">
        <v>216</v>
      </c>
      <c r="K172" s="2" t="s">
        <v>71</v>
      </c>
    </row>
    <row r="173" spans="1:11">
      <c r="A173" s="2">
        <v>1209</v>
      </c>
      <c r="B173" s="2" t="s">
        <v>308</v>
      </c>
      <c r="C173" s="2" t="s">
        <v>76</v>
      </c>
      <c r="D173" s="2" t="s">
        <v>13</v>
      </c>
      <c r="E173" s="2" t="s">
        <v>14</v>
      </c>
      <c r="F173" s="2">
        <v>11397</v>
      </c>
      <c r="G173" s="2">
        <v>17</v>
      </c>
      <c r="H173" s="2">
        <v>1</v>
      </c>
      <c r="I173" s="2">
        <v>2</v>
      </c>
      <c r="J173" s="2" t="s">
        <v>22</v>
      </c>
      <c r="K173" s="2" t="s">
        <v>309</v>
      </c>
    </row>
    <row r="174" spans="1:11">
      <c r="A174" s="2">
        <v>1094</v>
      </c>
      <c r="B174" s="2" t="s">
        <v>310</v>
      </c>
      <c r="C174" s="2" t="s">
        <v>233</v>
      </c>
      <c r="D174" s="2" t="s">
        <v>49</v>
      </c>
      <c r="E174" s="2" t="s">
        <v>78</v>
      </c>
      <c r="F174" s="2">
        <v>8463</v>
      </c>
      <c r="G174" s="2">
        <v>8</v>
      </c>
      <c r="H174" s="2">
        <v>4</v>
      </c>
      <c r="I174" s="2">
        <v>4</v>
      </c>
      <c r="J174" s="2" t="s">
        <v>131</v>
      </c>
      <c r="K174" s="2" t="s">
        <v>103</v>
      </c>
    </row>
    <row r="175" spans="1:11">
      <c r="A175" s="2">
        <v>1124</v>
      </c>
      <c r="B175" s="2" t="s">
        <v>311</v>
      </c>
      <c r="C175" s="2" t="s">
        <v>312</v>
      </c>
      <c r="D175" s="2" t="s">
        <v>13</v>
      </c>
      <c r="E175" s="2" t="s">
        <v>155</v>
      </c>
      <c r="F175" s="2">
        <v>3866</v>
      </c>
      <c r="G175" s="2">
        <v>5</v>
      </c>
      <c r="H175" s="2">
        <v>3</v>
      </c>
      <c r="I175" s="2">
        <v>3</v>
      </c>
      <c r="J175" s="2" t="s">
        <v>51</v>
      </c>
      <c r="K175" s="2" t="s">
        <v>22</v>
      </c>
    </row>
    <row r="176" spans="1:11">
      <c r="A176" s="2">
        <v>1259</v>
      </c>
      <c r="B176" s="2" t="s">
        <v>313</v>
      </c>
      <c r="C176" s="2"/>
      <c r="D176" s="2" t="s">
        <v>49</v>
      </c>
      <c r="E176" s="2" t="s">
        <v>62</v>
      </c>
      <c r="F176" s="2">
        <v>6223</v>
      </c>
      <c r="G176" s="2">
        <v>13</v>
      </c>
      <c r="H176" s="2">
        <v>1</v>
      </c>
      <c r="I176" s="2">
        <v>2</v>
      </c>
      <c r="J176" s="2" t="s">
        <v>31</v>
      </c>
      <c r="K176" s="2" t="s">
        <v>63</v>
      </c>
    </row>
    <row r="178" spans="1:11">
      <c r="A178" s="2">
        <v>1041</v>
      </c>
      <c r="B178" s="2" t="s">
        <v>314</v>
      </c>
      <c r="C178" s="2" t="s">
        <v>181</v>
      </c>
      <c r="D178" s="2" t="s">
        <v>49</v>
      </c>
      <c r="E178" s="2" t="s">
        <v>78</v>
      </c>
      <c r="F178" s="2">
        <v>8105</v>
      </c>
      <c r="G178" s="2">
        <v>11</v>
      </c>
      <c r="H178" s="2">
        <v>3</v>
      </c>
      <c r="I178" s="2">
        <v>4</v>
      </c>
      <c r="J178" s="2" t="s">
        <v>216</v>
      </c>
      <c r="K178" s="2" t="s">
        <v>216</v>
      </c>
    </row>
    <row r="179" spans="1:11">
      <c r="A179" s="2">
        <v>1042</v>
      </c>
      <c r="B179" s="2" t="s">
        <v>315</v>
      </c>
      <c r="C179" s="2" t="s">
        <v>33</v>
      </c>
      <c r="D179" s="2" t="s">
        <v>19</v>
      </c>
      <c r="E179" s="2" t="s">
        <v>34</v>
      </c>
      <c r="F179" s="2">
        <v>9259</v>
      </c>
      <c r="G179" s="2">
        <v>5</v>
      </c>
      <c r="H179" s="2">
        <v>4</v>
      </c>
      <c r="I179" s="2">
        <v>4</v>
      </c>
      <c r="J179" s="2" t="s">
        <v>51</v>
      </c>
      <c r="K179" s="2" t="s">
        <v>21</v>
      </c>
    </row>
    <row r="180" spans="1:11">
      <c r="A180" s="2">
        <v>1059</v>
      </c>
      <c r="B180" s="2" t="s">
        <v>316</v>
      </c>
      <c r="C180" s="2" t="s">
        <v>202</v>
      </c>
      <c r="D180" s="2" t="s">
        <v>29</v>
      </c>
      <c r="E180" s="2" t="s">
        <v>102</v>
      </c>
      <c r="F180" s="2">
        <v>13797</v>
      </c>
      <c r="G180" s="2">
        <v>13</v>
      </c>
      <c r="H180" s="2">
        <v>1</v>
      </c>
      <c r="I180" s="2">
        <v>3</v>
      </c>
      <c r="J180" s="2" t="s">
        <v>51</v>
      </c>
      <c r="K180" s="2" t="s">
        <v>39</v>
      </c>
    </row>
    <row r="181" spans="1:11">
      <c r="A181" s="2">
        <v>1188</v>
      </c>
      <c r="B181" s="2" t="s">
        <v>317</v>
      </c>
      <c r="C181" s="2" t="s">
        <v>130</v>
      </c>
      <c r="D181" s="2" t="s">
        <v>19</v>
      </c>
      <c r="E181" s="2" t="s">
        <v>34</v>
      </c>
      <c r="F181" s="2">
        <v>13896</v>
      </c>
      <c r="G181" s="2">
        <v>6</v>
      </c>
      <c r="H181" s="2">
        <v>2</v>
      </c>
      <c r="I181" s="2">
        <v>2</v>
      </c>
      <c r="J181" s="2" t="s">
        <v>137</v>
      </c>
      <c r="K181" s="2" t="s">
        <v>22</v>
      </c>
    </row>
    <row r="182" spans="1:11">
      <c r="A182" s="2">
        <v>1079</v>
      </c>
      <c r="B182" s="2" t="s">
        <v>318</v>
      </c>
      <c r="C182" s="2"/>
      <c r="D182" s="2" t="s">
        <v>13</v>
      </c>
      <c r="E182" s="2" t="s">
        <v>14</v>
      </c>
      <c r="F182" s="2">
        <v>3566</v>
      </c>
      <c r="G182" s="2">
        <v>12</v>
      </c>
      <c r="H182" s="2">
        <v>3</v>
      </c>
      <c r="I182" s="2">
        <v>4</v>
      </c>
      <c r="J182" s="2" t="s">
        <v>51</v>
      </c>
      <c r="K182" s="2" t="s">
        <v>95</v>
      </c>
    </row>
    <row r="183" spans="1:11">
      <c r="A183" s="2">
        <v>1108</v>
      </c>
      <c r="B183" s="2" t="s">
        <v>319</v>
      </c>
      <c r="C183" s="2" t="s">
        <v>320</v>
      </c>
      <c r="D183" s="2" t="s">
        <v>29</v>
      </c>
      <c r="E183" s="2" t="s">
        <v>102</v>
      </c>
      <c r="F183" s="2">
        <v>8279</v>
      </c>
      <c r="G183" s="2">
        <v>7</v>
      </c>
      <c r="H183" s="2">
        <v>1</v>
      </c>
      <c r="I183" s="2">
        <v>3</v>
      </c>
      <c r="J183" s="2" t="s">
        <v>51</v>
      </c>
      <c r="K183" s="2" t="s">
        <v>39</v>
      </c>
    </row>
    <row r="184" spans="1:11">
      <c r="A184" s="2">
        <v>1071</v>
      </c>
      <c r="B184" s="2" t="s">
        <v>321</v>
      </c>
      <c r="C184" s="2" t="s">
        <v>271</v>
      </c>
      <c r="D184" s="2" t="s">
        <v>29</v>
      </c>
      <c r="E184" s="2" t="s">
        <v>102</v>
      </c>
      <c r="F184" s="2">
        <v>12463</v>
      </c>
      <c r="G184" s="2">
        <v>0</v>
      </c>
      <c r="H184" s="2">
        <v>1</v>
      </c>
      <c r="I184" s="2">
        <v>2</v>
      </c>
      <c r="J184" s="2" t="s">
        <v>51</v>
      </c>
      <c r="K184" s="2" t="s">
        <v>22</v>
      </c>
    </row>
    <row r="185" spans="1:11">
      <c r="A185" s="2">
        <v>1288</v>
      </c>
      <c r="B185" s="2" t="s">
        <v>322</v>
      </c>
      <c r="C185" s="2" t="s">
        <v>174</v>
      </c>
      <c r="D185" s="2" t="s">
        <v>56</v>
      </c>
      <c r="E185" s="2" t="s">
        <v>59</v>
      </c>
      <c r="F185" s="2">
        <v>3064</v>
      </c>
      <c r="G185" s="2">
        <v>11</v>
      </c>
      <c r="H185" s="2">
        <v>1</v>
      </c>
      <c r="I185" s="2">
        <v>4</v>
      </c>
      <c r="J185" s="2" t="s">
        <v>114</v>
      </c>
      <c r="K185" s="2" t="s">
        <v>51</v>
      </c>
    </row>
    <row r="186" spans="1:11">
      <c r="A186" s="2">
        <v>1135</v>
      </c>
      <c r="B186" s="2" t="s">
        <v>213</v>
      </c>
      <c r="C186" s="2" t="s">
        <v>202</v>
      </c>
      <c r="D186" s="2" t="s">
        <v>29</v>
      </c>
      <c r="E186" s="2" t="s">
        <v>30</v>
      </c>
      <c r="F186" s="2">
        <v>6061</v>
      </c>
      <c r="G186" s="2">
        <v>9</v>
      </c>
      <c r="H186" s="2">
        <v>3</v>
      </c>
      <c r="I186" s="2">
        <v>4</v>
      </c>
      <c r="J186" s="2" t="s">
        <v>51</v>
      </c>
      <c r="K186" s="2" t="s">
        <v>214</v>
      </c>
    </row>
    <row r="187" spans="1:11">
      <c r="A187" s="2">
        <v>1057</v>
      </c>
      <c r="B187" s="2" t="s">
        <v>323</v>
      </c>
      <c r="C187" s="2" t="s">
        <v>65</v>
      </c>
      <c r="D187" s="2" t="s">
        <v>25</v>
      </c>
      <c r="E187" s="2" t="s">
        <v>26</v>
      </c>
      <c r="F187" s="2">
        <v>14337</v>
      </c>
      <c r="G187" s="2">
        <v>4</v>
      </c>
      <c r="H187" s="2">
        <v>3</v>
      </c>
      <c r="I187" s="2">
        <v>2</v>
      </c>
      <c r="J187" s="2" t="s">
        <v>51</v>
      </c>
      <c r="K187" s="2" t="s">
        <v>21</v>
      </c>
    </row>
    <row r="188" spans="1:11">
      <c r="A188" s="2">
        <v>1211</v>
      </c>
      <c r="B188" s="2" t="s">
        <v>324</v>
      </c>
      <c r="C188" s="2" t="s">
        <v>48</v>
      </c>
      <c r="D188" s="2" t="s">
        <v>49</v>
      </c>
      <c r="E188" s="2" t="s">
        <v>78</v>
      </c>
      <c r="F188" s="2">
        <v>13934</v>
      </c>
      <c r="G188" s="2">
        <v>17</v>
      </c>
      <c r="H188" s="2">
        <v>1</v>
      </c>
      <c r="I188" s="2">
        <v>3</v>
      </c>
      <c r="J188" s="2" t="s">
        <v>16</v>
      </c>
      <c r="K188" s="2" t="s">
        <v>51</v>
      </c>
    </row>
    <row r="189" spans="1:11">
      <c r="A189" s="2">
        <v>1077</v>
      </c>
      <c r="B189" s="2" t="s">
        <v>325</v>
      </c>
      <c r="C189" s="2" t="s">
        <v>90</v>
      </c>
      <c r="D189" s="2" t="s">
        <v>29</v>
      </c>
      <c r="E189" s="2" t="s">
        <v>102</v>
      </c>
      <c r="F189" s="2">
        <v>4485</v>
      </c>
      <c r="G189" s="2">
        <v>6</v>
      </c>
      <c r="H189" s="2">
        <v>2</v>
      </c>
      <c r="I189" s="2">
        <v>4</v>
      </c>
      <c r="J189" s="2" t="s">
        <v>66</v>
      </c>
      <c r="K189" s="2" t="s">
        <v>131</v>
      </c>
    </row>
    <row r="190" spans="1:11">
      <c r="A190" s="2">
        <v>1170</v>
      </c>
      <c r="B190" s="2" t="s">
        <v>326</v>
      </c>
      <c r="C190" s="2" t="s">
        <v>83</v>
      </c>
      <c r="D190" s="2" t="s">
        <v>56</v>
      </c>
      <c r="E190" s="2" t="s">
        <v>57</v>
      </c>
      <c r="F190" s="2">
        <v>12341</v>
      </c>
      <c r="G190" s="2">
        <v>0</v>
      </c>
      <c r="H190" s="2">
        <v>3</v>
      </c>
      <c r="I190" s="2">
        <v>4</v>
      </c>
      <c r="J190" s="2" t="s">
        <v>131</v>
      </c>
      <c r="K190" s="2" t="s">
        <v>31</v>
      </c>
    </row>
    <row r="191" spans="1:11">
      <c r="A191" s="2">
        <v>1066</v>
      </c>
      <c r="B191" s="2" t="s">
        <v>327</v>
      </c>
      <c r="C191" s="2" t="s">
        <v>328</v>
      </c>
      <c r="D191" s="2" t="s">
        <v>19</v>
      </c>
      <c r="E191" s="2" t="s">
        <v>20</v>
      </c>
      <c r="F191" s="2">
        <v>12725</v>
      </c>
      <c r="G191" s="2">
        <v>16</v>
      </c>
      <c r="H191" s="2">
        <v>2</v>
      </c>
      <c r="I191" s="2">
        <v>3</v>
      </c>
      <c r="J191" s="2" t="s">
        <v>131</v>
      </c>
      <c r="K191" s="2" t="s">
        <v>21</v>
      </c>
    </row>
    <row r="192" spans="1:11">
      <c r="A192" s="2">
        <v>1224</v>
      </c>
      <c r="B192" s="2" t="s">
        <v>329</v>
      </c>
      <c r="C192" s="2" t="s">
        <v>271</v>
      </c>
      <c r="D192" s="2" t="s">
        <v>29</v>
      </c>
      <c r="E192" s="2" t="s">
        <v>102</v>
      </c>
      <c r="F192" s="2">
        <v>12382</v>
      </c>
      <c r="G192" s="2">
        <v>13</v>
      </c>
      <c r="H192" s="2">
        <v>3</v>
      </c>
      <c r="I192" s="2">
        <v>3</v>
      </c>
      <c r="J192" s="2" t="s">
        <v>71</v>
      </c>
      <c r="K192" s="2" t="s">
        <v>22</v>
      </c>
    </row>
    <row r="193" spans="1:11">
      <c r="A193" s="2">
        <v>1268</v>
      </c>
      <c r="B193" s="2" t="s">
        <v>330</v>
      </c>
      <c r="C193" s="2" t="s">
        <v>101</v>
      </c>
      <c r="D193" s="2" t="s">
        <v>29</v>
      </c>
      <c r="E193" s="2" t="s">
        <v>102</v>
      </c>
      <c r="F193" s="2">
        <v>8029</v>
      </c>
      <c r="G193" s="2">
        <v>2</v>
      </c>
      <c r="H193" s="2">
        <v>2</v>
      </c>
      <c r="I193" s="2">
        <v>3</v>
      </c>
      <c r="J193" s="2" t="s">
        <v>169</v>
      </c>
      <c r="K193" s="2" t="s">
        <v>41</v>
      </c>
    </row>
    <row r="194" spans="1:11">
      <c r="A194" s="2">
        <v>1127</v>
      </c>
      <c r="B194" s="2" t="s">
        <v>331</v>
      </c>
      <c r="C194" s="2"/>
      <c r="D194" s="2" t="s">
        <v>13</v>
      </c>
      <c r="E194" s="2" t="s">
        <v>44</v>
      </c>
      <c r="F194" s="2">
        <v>6085</v>
      </c>
      <c r="G194" s="2">
        <v>5</v>
      </c>
      <c r="H194" s="2">
        <v>3</v>
      </c>
      <c r="I194" s="2">
        <v>4</v>
      </c>
      <c r="J194" s="2" t="s">
        <v>286</v>
      </c>
      <c r="K194" s="2" t="s">
        <v>67</v>
      </c>
    </row>
    <row r="195" spans="1:11">
      <c r="A195" s="2">
        <v>1206</v>
      </c>
      <c r="B195" s="2" t="s">
        <v>332</v>
      </c>
      <c r="C195" s="2" t="s">
        <v>333</v>
      </c>
      <c r="D195" s="2" t="s">
        <v>49</v>
      </c>
      <c r="E195" s="2" t="s">
        <v>50</v>
      </c>
      <c r="F195" s="2">
        <v>5594</v>
      </c>
      <c r="G195" s="2">
        <v>7</v>
      </c>
      <c r="H195" s="2">
        <v>4</v>
      </c>
      <c r="I195" s="2">
        <v>4</v>
      </c>
      <c r="J195" s="2" t="s">
        <v>309</v>
      </c>
      <c r="K195" s="2" t="s">
        <v>21</v>
      </c>
    </row>
    <row r="196" spans="1:11">
      <c r="A196" s="2">
        <v>1153</v>
      </c>
      <c r="B196" s="2" t="s">
        <v>86</v>
      </c>
      <c r="C196" s="2" t="s">
        <v>87</v>
      </c>
      <c r="D196" s="2" t="s">
        <v>56</v>
      </c>
      <c r="E196" s="2" t="s">
        <v>85</v>
      </c>
      <c r="F196" s="2">
        <v>2815</v>
      </c>
      <c r="G196" s="2">
        <v>9</v>
      </c>
      <c r="H196" s="2">
        <v>2</v>
      </c>
      <c r="I196" s="2">
        <v>2</v>
      </c>
      <c r="J196" s="2" t="s">
        <v>22</v>
      </c>
      <c r="K196" s="2" t="s">
        <v>88</v>
      </c>
    </row>
    <row r="197" spans="1:11">
      <c r="A197" s="2">
        <v>1200</v>
      </c>
      <c r="B197" s="2" t="s">
        <v>334</v>
      </c>
      <c r="C197" s="2"/>
      <c r="D197" s="2" t="s">
        <v>29</v>
      </c>
      <c r="E197" s="2" t="s">
        <v>30</v>
      </c>
      <c r="F197" s="2">
        <v>3014</v>
      </c>
      <c r="G197" s="2">
        <v>7</v>
      </c>
      <c r="H197" s="2">
        <v>3</v>
      </c>
      <c r="I197" s="2">
        <v>4</v>
      </c>
      <c r="J197" s="2" t="s">
        <v>42</v>
      </c>
      <c r="K197" s="2" t="s">
        <v>22</v>
      </c>
    </row>
    <row r="198" spans="1:11">
      <c r="A198" s="2">
        <v>1271</v>
      </c>
      <c r="B198" s="2" t="s">
        <v>335</v>
      </c>
      <c r="C198" s="2" t="s">
        <v>24</v>
      </c>
      <c r="D198" s="2" t="s">
        <v>25</v>
      </c>
      <c r="E198" s="2" t="s">
        <v>38</v>
      </c>
      <c r="F198" s="2">
        <v>6681</v>
      </c>
      <c r="G198" s="2">
        <v>8</v>
      </c>
      <c r="H198" s="2">
        <v>3</v>
      </c>
      <c r="I198" s="2">
        <v>2</v>
      </c>
      <c r="J198" s="2" t="s">
        <v>22</v>
      </c>
      <c r="K198" s="2" t="s">
        <v>21</v>
      </c>
    </row>
    <row r="199" spans="1:11">
      <c r="A199" s="2">
        <v>1230</v>
      </c>
      <c r="B199" s="2" t="s">
        <v>336</v>
      </c>
      <c r="C199" s="2"/>
      <c r="D199" s="2" t="s">
        <v>19</v>
      </c>
      <c r="E199" s="2" t="s">
        <v>112</v>
      </c>
      <c r="F199" s="2">
        <v>5010</v>
      </c>
      <c r="G199" s="2">
        <v>13</v>
      </c>
      <c r="H199" s="2">
        <v>3</v>
      </c>
      <c r="I199" s="2">
        <v>4</v>
      </c>
      <c r="J199" s="2" t="s">
        <v>21</v>
      </c>
      <c r="K199" s="2" t="s">
        <v>21</v>
      </c>
    </row>
    <row r="200" spans="1:11">
      <c r="A200" s="2">
        <v>1272</v>
      </c>
      <c r="B200" s="2" t="s">
        <v>337</v>
      </c>
      <c r="C200" s="2"/>
      <c r="D200" s="2" t="s">
        <v>19</v>
      </c>
      <c r="E200" s="2" t="s">
        <v>20</v>
      </c>
      <c r="F200" s="2">
        <v>13467</v>
      </c>
      <c r="G200" s="2">
        <v>0</v>
      </c>
      <c r="H200" s="2">
        <v>1</v>
      </c>
      <c r="I200" s="2">
        <v>3</v>
      </c>
      <c r="J200" s="2" t="s">
        <v>103</v>
      </c>
      <c r="K200" s="2" t="s">
        <v>22</v>
      </c>
    </row>
    <row r="201" spans="1:11">
      <c r="A201" s="2">
        <v>1021</v>
      </c>
      <c r="B201" s="2" t="s">
        <v>338</v>
      </c>
      <c r="C201" s="2" t="s">
        <v>271</v>
      </c>
      <c r="D201" s="2" t="s">
        <v>29</v>
      </c>
      <c r="E201" s="2" t="s">
        <v>102</v>
      </c>
      <c r="F201" s="2">
        <v>10413</v>
      </c>
      <c r="G201" s="2">
        <v>0</v>
      </c>
      <c r="H201" s="2">
        <v>4</v>
      </c>
      <c r="I201" s="2">
        <v>2</v>
      </c>
      <c r="J201" s="2" t="s">
        <v>31</v>
      </c>
      <c r="K201" s="2" t="s">
        <v>41</v>
      </c>
    </row>
    <row r="202" spans="1:11">
      <c r="A202" s="2">
        <v>1126</v>
      </c>
      <c r="B202" s="2" t="s">
        <v>339</v>
      </c>
      <c r="C202" s="2"/>
      <c r="D202" s="2" t="s">
        <v>25</v>
      </c>
      <c r="E202" s="2" t="s">
        <v>38</v>
      </c>
      <c r="F202" s="2">
        <v>3653</v>
      </c>
      <c r="G202" s="2">
        <v>0</v>
      </c>
      <c r="H202" s="2">
        <v>2</v>
      </c>
      <c r="I202" s="2">
        <v>4</v>
      </c>
      <c r="J202" s="2" t="s">
        <v>103</v>
      </c>
      <c r="K202" s="2" t="s">
        <v>22</v>
      </c>
    </row>
    <row r="203" spans="1:11">
      <c r="A203" s="2">
        <v>1093</v>
      </c>
      <c r="B203" s="2" t="s">
        <v>340</v>
      </c>
      <c r="C203" s="2" t="s">
        <v>271</v>
      </c>
      <c r="D203" s="2" t="s">
        <v>29</v>
      </c>
      <c r="E203" s="2" t="s">
        <v>30</v>
      </c>
      <c r="F203" s="2">
        <v>9429</v>
      </c>
      <c r="G203" s="2">
        <v>11</v>
      </c>
      <c r="H203" s="2">
        <v>1</v>
      </c>
      <c r="I203" s="2">
        <v>3</v>
      </c>
      <c r="J203" s="2" t="s">
        <v>51</v>
      </c>
      <c r="K203" s="2" t="s">
        <v>51</v>
      </c>
    </row>
    <row r="204" spans="1:11">
      <c r="A204" s="2">
        <v>1097</v>
      </c>
      <c r="B204" s="2" t="s">
        <v>341</v>
      </c>
      <c r="C204" s="2"/>
      <c r="D204" s="2" t="s">
        <v>49</v>
      </c>
      <c r="E204" s="2" t="s">
        <v>50</v>
      </c>
      <c r="F204" s="2">
        <v>10478</v>
      </c>
      <c r="G204" s="2">
        <v>3</v>
      </c>
      <c r="H204" s="2">
        <v>3</v>
      </c>
      <c r="I204" s="2">
        <v>4</v>
      </c>
      <c r="J204" s="2" t="s">
        <v>169</v>
      </c>
      <c r="K204" s="2" t="s">
        <v>103</v>
      </c>
    </row>
    <row r="205" spans="1:11">
      <c r="A205" s="2">
        <v>1139</v>
      </c>
      <c r="B205" s="2" t="s">
        <v>342</v>
      </c>
      <c r="C205" s="2" t="s">
        <v>48</v>
      </c>
      <c r="D205" s="2" t="s">
        <v>49</v>
      </c>
      <c r="E205" s="2" t="s">
        <v>62</v>
      </c>
      <c r="F205" s="2">
        <v>4453</v>
      </c>
      <c r="G205" s="2">
        <v>17</v>
      </c>
      <c r="H205" s="2">
        <v>2</v>
      </c>
      <c r="I205" s="2">
        <v>2</v>
      </c>
      <c r="J205" s="2" t="s">
        <v>21</v>
      </c>
      <c r="K205" s="2" t="s">
        <v>286</v>
      </c>
    </row>
    <row r="206" spans="1:11">
      <c r="A206" s="2">
        <v>1231</v>
      </c>
      <c r="B206" s="2" t="s">
        <v>343</v>
      </c>
      <c r="C206" s="2"/>
      <c r="D206" s="2" t="s">
        <v>25</v>
      </c>
      <c r="E206" s="2" t="s">
        <v>26</v>
      </c>
      <c r="F206" s="2">
        <v>9206</v>
      </c>
      <c r="G206" s="2">
        <v>6</v>
      </c>
      <c r="H206" s="2">
        <v>3</v>
      </c>
      <c r="I206" s="2">
        <v>4</v>
      </c>
      <c r="J206" s="2" t="s">
        <v>71</v>
      </c>
      <c r="K206" s="2" t="s">
        <v>63</v>
      </c>
    </row>
    <row r="207" spans="1:11">
      <c r="A207" s="2">
        <v>1283</v>
      </c>
      <c r="B207" s="2" t="s">
        <v>344</v>
      </c>
      <c r="C207" s="2" t="s">
        <v>244</v>
      </c>
      <c r="D207" s="2" t="s">
        <v>13</v>
      </c>
      <c r="E207" s="2" t="s">
        <v>155</v>
      </c>
      <c r="F207" s="2">
        <v>11389</v>
      </c>
      <c r="G207" s="2">
        <v>5</v>
      </c>
      <c r="H207" s="2">
        <v>4</v>
      </c>
      <c r="I207" s="2">
        <v>4</v>
      </c>
      <c r="J207" s="2" t="s">
        <v>158</v>
      </c>
      <c r="K207" s="2" t="s">
        <v>103</v>
      </c>
    </row>
    <row r="208" spans="1:11">
      <c r="A208" s="2">
        <v>1020</v>
      </c>
      <c r="B208" s="2" t="s">
        <v>345</v>
      </c>
      <c r="C208" s="2" t="s">
        <v>190</v>
      </c>
      <c r="D208" s="2" t="s">
        <v>25</v>
      </c>
      <c r="E208" s="2" t="s">
        <v>148</v>
      </c>
      <c r="F208" s="2">
        <v>6162</v>
      </c>
      <c r="G208" s="2">
        <v>8</v>
      </c>
      <c r="H208" s="2">
        <v>2</v>
      </c>
      <c r="I208" s="2">
        <v>3</v>
      </c>
      <c r="J208" s="2" t="s">
        <v>21</v>
      </c>
      <c r="K208" s="2" t="s">
        <v>31</v>
      </c>
    </row>
    <row r="209" spans="1:11">
      <c r="A209" s="2">
        <v>1220</v>
      </c>
      <c r="B209" s="2" t="s">
        <v>346</v>
      </c>
      <c r="C209" s="2" t="s">
        <v>206</v>
      </c>
      <c r="D209" s="2" t="s">
        <v>56</v>
      </c>
      <c r="E209" s="2" t="s">
        <v>57</v>
      </c>
      <c r="F209" s="2">
        <v>7321</v>
      </c>
      <c r="G209" s="2">
        <v>12</v>
      </c>
      <c r="H209" s="2">
        <v>2</v>
      </c>
      <c r="I209" s="2">
        <v>3</v>
      </c>
      <c r="J209" s="2" t="s">
        <v>109</v>
      </c>
      <c r="K209" s="2" t="s">
        <v>71</v>
      </c>
    </row>
    <row r="210" spans="1:11">
      <c r="A210" s="2">
        <v>1262</v>
      </c>
      <c r="B210" s="2" t="s">
        <v>347</v>
      </c>
      <c r="C210" s="2" t="s">
        <v>24</v>
      </c>
      <c r="D210" s="2" t="s">
        <v>25</v>
      </c>
      <c r="E210" s="2" t="s">
        <v>38</v>
      </c>
      <c r="F210" s="2">
        <v>14202</v>
      </c>
      <c r="G210" s="2">
        <v>5</v>
      </c>
      <c r="H210" s="2">
        <v>3</v>
      </c>
      <c r="I210" s="2">
        <v>3</v>
      </c>
      <c r="J210" s="2" t="s">
        <v>66</v>
      </c>
      <c r="K210" s="2" t="s">
        <v>22</v>
      </c>
    </row>
    <row r="211" spans="1:11">
      <c r="A211" s="2">
        <v>1275</v>
      </c>
      <c r="B211" s="2" t="s">
        <v>348</v>
      </c>
      <c r="C211" s="2" t="s">
        <v>349</v>
      </c>
      <c r="D211" s="2" t="s">
        <v>49</v>
      </c>
      <c r="E211" s="2" t="s">
        <v>78</v>
      </c>
      <c r="F211" s="2">
        <v>12335</v>
      </c>
      <c r="G211" s="2">
        <v>4</v>
      </c>
      <c r="H211" s="2">
        <v>3</v>
      </c>
      <c r="I211" s="2">
        <v>4</v>
      </c>
      <c r="J211" s="2" t="s">
        <v>51</v>
      </c>
      <c r="K211" s="2" t="s">
        <v>67</v>
      </c>
    </row>
    <row r="212" spans="1:11">
      <c r="A212" s="2">
        <v>1056</v>
      </c>
      <c r="B212" s="2" t="s">
        <v>350</v>
      </c>
      <c r="C212" s="2" t="s">
        <v>101</v>
      </c>
      <c r="D212" s="2" t="s">
        <v>29</v>
      </c>
      <c r="E212" s="2" t="s">
        <v>102</v>
      </c>
      <c r="F212" s="2">
        <v>11435</v>
      </c>
      <c r="G212" s="2">
        <v>14</v>
      </c>
      <c r="H212" s="2">
        <v>3</v>
      </c>
      <c r="I212" s="2">
        <v>4</v>
      </c>
      <c r="J212" s="2" t="s">
        <v>124</v>
      </c>
      <c r="K212" s="2" t="s">
        <v>71</v>
      </c>
    </row>
    <row r="213" spans="1:11">
      <c r="A213" s="2">
        <v>1243</v>
      </c>
      <c r="B213" s="2" t="s">
        <v>351</v>
      </c>
      <c r="C213" s="2" t="s">
        <v>12</v>
      </c>
      <c r="D213" s="2" t="s">
        <v>13</v>
      </c>
      <c r="E213" s="2" t="s">
        <v>155</v>
      </c>
      <c r="F213" s="2">
        <v>3309</v>
      </c>
      <c r="G213" s="2">
        <v>4</v>
      </c>
      <c r="H213" s="2">
        <v>3</v>
      </c>
      <c r="I213" s="2">
        <v>3</v>
      </c>
      <c r="J213" s="2" t="s">
        <v>131</v>
      </c>
      <c r="K213" s="2" t="s">
        <v>114</v>
      </c>
    </row>
    <row r="214" spans="1:11">
      <c r="A214" s="2">
        <v>1169</v>
      </c>
      <c r="B214" s="2" t="s">
        <v>352</v>
      </c>
      <c r="C214" s="2" t="s">
        <v>12</v>
      </c>
      <c r="D214" s="2" t="s">
        <v>13</v>
      </c>
      <c r="E214" s="2" t="s">
        <v>44</v>
      </c>
      <c r="F214" s="2">
        <v>8371</v>
      </c>
      <c r="G214" s="2">
        <v>3</v>
      </c>
      <c r="H214" s="2">
        <v>3</v>
      </c>
      <c r="I214" s="2">
        <v>4</v>
      </c>
      <c r="J214" s="2" t="s">
        <v>31</v>
      </c>
      <c r="K214" s="2" t="s">
        <v>67</v>
      </c>
    </row>
    <row r="215" spans="1:11">
      <c r="A215" s="2">
        <v>1012</v>
      </c>
      <c r="B215" s="2" t="s">
        <v>353</v>
      </c>
      <c r="C215" s="2" t="s">
        <v>212</v>
      </c>
      <c r="D215" s="2" t="s">
        <v>49</v>
      </c>
      <c r="E215" s="2" t="s">
        <v>62</v>
      </c>
      <c r="F215" s="2">
        <v>6119</v>
      </c>
      <c r="G215" s="2">
        <v>11</v>
      </c>
      <c r="H215" s="2">
        <v>3</v>
      </c>
      <c r="I215" s="2">
        <v>2</v>
      </c>
      <c r="J215" s="2" t="s">
        <v>51</v>
      </c>
      <c r="K215" s="2" t="s">
        <v>67</v>
      </c>
    </row>
    <row r="216" spans="1:11">
      <c r="A216" s="2">
        <v>1280</v>
      </c>
      <c r="B216" s="2" t="s">
        <v>354</v>
      </c>
      <c r="C216" s="2" t="s">
        <v>76</v>
      </c>
      <c r="D216" s="2" t="s">
        <v>13</v>
      </c>
      <c r="E216" s="2" t="s">
        <v>44</v>
      </c>
      <c r="F216" s="2">
        <v>11808</v>
      </c>
      <c r="G216" s="2">
        <v>14</v>
      </c>
      <c r="H216" s="2">
        <v>1</v>
      </c>
      <c r="I216" s="2">
        <v>4</v>
      </c>
      <c r="J216" s="2" t="s">
        <v>71</v>
      </c>
      <c r="K216" s="2" t="s">
        <v>51</v>
      </c>
    </row>
    <row r="217" spans="1:11">
      <c r="A217" s="2">
        <v>1239</v>
      </c>
      <c r="B217" s="2" t="s">
        <v>355</v>
      </c>
      <c r="C217" s="2" t="s">
        <v>65</v>
      </c>
      <c r="D217" s="2" t="s">
        <v>25</v>
      </c>
      <c r="E217" s="2" t="s">
        <v>26</v>
      </c>
      <c r="F217" s="2">
        <v>14427</v>
      </c>
      <c r="G217" s="2">
        <v>9</v>
      </c>
      <c r="H217" s="2">
        <v>4</v>
      </c>
      <c r="I217" s="2">
        <v>4</v>
      </c>
      <c r="J217" s="2" t="s">
        <v>45</v>
      </c>
      <c r="K217" s="2" t="s">
        <v>21</v>
      </c>
    </row>
    <row r="218" spans="1:11">
      <c r="A218" s="2">
        <v>1039</v>
      </c>
      <c r="B218" s="2" t="s">
        <v>356</v>
      </c>
      <c r="C218" s="2" t="s">
        <v>233</v>
      </c>
      <c r="D218" s="2" t="s">
        <v>49</v>
      </c>
      <c r="E218" s="2" t="s">
        <v>78</v>
      </c>
      <c r="F218" s="2">
        <v>9187</v>
      </c>
      <c r="G218" s="2">
        <v>1</v>
      </c>
      <c r="H218" s="2">
        <v>3</v>
      </c>
      <c r="I218" s="2">
        <v>4</v>
      </c>
      <c r="J218" s="2" t="s">
        <v>39</v>
      </c>
      <c r="K218" s="2" t="s">
        <v>67</v>
      </c>
    </row>
    <row r="220" spans="1:11">
      <c r="A220" s="2">
        <v>1085</v>
      </c>
      <c r="B220" s="2" t="s">
        <v>357</v>
      </c>
      <c r="C220" s="2" t="s">
        <v>24</v>
      </c>
      <c r="D220" s="2" t="s">
        <v>25</v>
      </c>
      <c r="E220" s="2" t="s">
        <v>26</v>
      </c>
      <c r="F220" s="2">
        <v>10774</v>
      </c>
      <c r="G220" s="2">
        <v>0</v>
      </c>
      <c r="H220" s="2">
        <v>4</v>
      </c>
      <c r="I220" s="2">
        <v>3</v>
      </c>
      <c r="J220" s="2" t="s">
        <v>21</v>
      </c>
      <c r="K220" s="2" t="s">
        <v>31</v>
      </c>
    </row>
    <row r="221" spans="1:11">
      <c r="A221" s="2">
        <v>1193</v>
      </c>
      <c r="B221" s="2" t="s">
        <v>358</v>
      </c>
      <c r="C221" s="2"/>
      <c r="D221" s="2" t="s">
        <v>29</v>
      </c>
      <c r="E221" s="2" t="s">
        <v>30</v>
      </c>
      <c r="F221" s="2">
        <v>12300</v>
      </c>
      <c r="G221" s="2">
        <v>6</v>
      </c>
      <c r="H221" s="2">
        <v>4</v>
      </c>
      <c r="I221" s="2">
        <v>3</v>
      </c>
      <c r="J221" s="2" t="s">
        <v>51</v>
      </c>
      <c r="K221" s="2" t="s">
        <v>103</v>
      </c>
    </row>
    <row r="222" spans="1:11">
      <c r="A222" s="2">
        <v>1233</v>
      </c>
      <c r="B222" s="2" t="s">
        <v>359</v>
      </c>
      <c r="C222" s="2" t="s">
        <v>76</v>
      </c>
      <c r="D222" s="2" t="s">
        <v>13</v>
      </c>
      <c r="E222" s="2" t="s">
        <v>44</v>
      </c>
      <c r="F222" s="2">
        <v>3007</v>
      </c>
      <c r="G222" s="2">
        <v>0</v>
      </c>
      <c r="H222" s="2">
        <v>4</v>
      </c>
      <c r="I222" s="2">
        <v>4</v>
      </c>
      <c r="J222" s="2" t="s">
        <v>286</v>
      </c>
      <c r="K222" s="2" t="s">
        <v>41</v>
      </c>
    </row>
    <row r="223" spans="1:11">
      <c r="A223" s="2">
        <v>1084</v>
      </c>
      <c r="B223" s="2" t="s">
        <v>360</v>
      </c>
      <c r="C223" s="2" t="s">
        <v>12</v>
      </c>
      <c r="D223" s="2" t="s">
        <v>13</v>
      </c>
      <c r="E223" s="2" t="s">
        <v>155</v>
      </c>
      <c r="F223" s="2">
        <v>3219</v>
      </c>
      <c r="G223" s="2">
        <v>15</v>
      </c>
      <c r="H223" s="2">
        <v>1</v>
      </c>
      <c r="I223" s="2">
        <v>3</v>
      </c>
      <c r="J223" s="2" t="s">
        <v>22</v>
      </c>
      <c r="K223" s="2" t="s">
        <v>51</v>
      </c>
    </row>
    <row r="224" spans="1:11">
      <c r="A224" s="2">
        <v>1148</v>
      </c>
      <c r="B224" s="2" t="s">
        <v>361</v>
      </c>
      <c r="C224" s="2" t="s">
        <v>12</v>
      </c>
      <c r="D224" s="2" t="s">
        <v>13</v>
      </c>
      <c r="E224" s="2" t="s">
        <v>14</v>
      </c>
      <c r="F224" s="2">
        <v>4991</v>
      </c>
      <c r="G224" s="2">
        <v>18</v>
      </c>
      <c r="H224" s="2">
        <v>1</v>
      </c>
      <c r="I224" s="2">
        <v>4</v>
      </c>
      <c r="J224" s="2" t="s">
        <v>124</v>
      </c>
      <c r="K224" s="2" t="s">
        <v>109</v>
      </c>
    </row>
    <row r="225" spans="1:11">
      <c r="A225" s="2">
        <v>1156</v>
      </c>
      <c r="B225" s="2" t="s">
        <v>362</v>
      </c>
      <c r="C225" s="2" t="s">
        <v>12</v>
      </c>
      <c r="D225" s="2" t="s">
        <v>13</v>
      </c>
      <c r="E225" s="2" t="s">
        <v>14</v>
      </c>
      <c r="F225" s="2">
        <v>12212</v>
      </c>
      <c r="G225" s="2">
        <v>10</v>
      </c>
      <c r="H225" s="2">
        <v>2</v>
      </c>
      <c r="I225" s="2">
        <v>3</v>
      </c>
      <c r="J225" s="2" t="s">
        <v>22</v>
      </c>
      <c r="K225" s="2" t="s">
        <v>51</v>
      </c>
    </row>
    <row r="226" spans="1:11">
      <c r="A226" s="2">
        <v>1027</v>
      </c>
      <c r="B226" s="2" t="s">
        <v>363</v>
      </c>
      <c r="C226" s="2" t="s">
        <v>83</v>
      </c>
      <c r="D226" s="2" t="s">
        <v>56</v>
      </c>
      <c r="E226" s="2" t="s">
        <v>59</v>
      </c>
      <c r="F226" s="2">
        <v>7777</v>
      </c>
      <c r="G226" s="2">
        <v>16</v>
      </c>
      <c r="H226" s="2">
        <v>1</v>
      </c>
      <c r="I226" s="2">
        <v>4</v>
      </c>
      <c r="J226" s="2" t="s">
        <v>169</v>
      </c>
      <c r="K226" s="2" t="s">
        <v>66</v>
      </c>
    </row>
    <row r="227" spans="1:11">
      <c r="A227" s="2">
        <v>1113</v>
      </c>
      <c r="B227" s="2" t="s">
        <v>364</v>
      </c>
      <c r="C227" s="2" t="s">
        <v>267</v>
      </c>
      <c r="D227" s="2" t="s">
        <v>19</v>
      </c>
      <c r="E227" s="2" t="s">
        <v>20</v>
      </c>
      <c r="F227" s="2">
        <v>5246</v>
      </c>
      <c r="G227" s="2">
        <v>17</v>
      </c>
      <c r="H227" s="2">
        <v>2</v>
      </c>
      <c r="I227" s="2">
        <v>3</v>
      </c>
      <c r="J227" s="2" t="s">
        <v>22</v>
      </c>
      <c r="K227" s="2" t="s">
        <v>51</v>
      </c>
    </row>
    <row r="228" spans="1:11">
      <c r="A228" s="2">
        <v>1159</v>
      </c>
      <c r="B228" s="2" t="s">
        <v>365</v>
      </c>
      <c r="C228" s="2" t="s">
        <v>366</v>
      </c>
      <c r="D228" s="2" t="s">
        <v>13</v>
      </c>
      <c r="E228" s="2" t="s">
        <v>155</v>
      </c>
      <c r="F228" s="2">
        <v>8399</v>
      </c>
      <c r="G228" s="2">
        <v>7</v>
      </c>
      <c r="H228" s="2">
        <v>4</v>
      </c>
      <c r="I228" s="2">
        <v>3</v>
      </c>
      <c r="J228" s="2" t="s">
        <v>51</v>
      </c>
      <c r="K228" s="2" t="s">
        <v>158</v>
      </c>
    </row>
    <row r="229" spans="1:11">
      <c r="A229" s="2">
        <v>1296</v>
      </c>
      <c r="B229" s="2" t="s">
        <v>367</v>
      </c>
      <c r="C229" s="2"/>
      <c r="D229" s="2" t="s">
        <v>25</v>
      </c>
      <c r="E229" s="2" t="s">
        <v>148</v>
      </c>
      <c r="F229" s="2">
        <v>6348</v>
      </c>
      <c r="G229" s="2">
        <v>4</v>
      </c>
      <c r="H229" s="2">
        <v>4</v>
      </c>
      <c r="I229" s="2">
        <v>2</v>
      </c>
      <c r="J229" s="2" t="s">
        <v>131</v>
      </c>
      <c r="K229" s="2" t="s">
        <v>22</v>
      </c>
    </row>
    <row r="230" spans="1:11">
      <c r="A230" s="2">
        <v>1217</v>
      </c>
      <c r="B230" s="2" t="s">
        <v>368</v>
      </c>
      <c r="C230" s="2" t="s">
        <v>369</v>
      </c>
      <c r="D230" s="2" t="s">
        <v>29</v>
      </c>
      <c r="E230" s="2" t="s">
        <v>30</v>
      </c>
      <c r="F230" s="2">
        <v>7183</v>
      </c>
      <c r="G230" s="2">
        <v>8</v>
      </c>
      <c r="H230" s="2">
        <v>4</v>
      </c>
      <c r="I230" s="2">
        <v>1</v>
      </c>
      <c r="J230" s="2" t="s">
        <v>41</v>
      </c>
      <c r="K230" s="2" t="s">
        <v>42</v>
      </c>
    </row>
    <row r="231" spans="1:11">
      <c r="A231" s="2">
        <v>1143</v>
      </c>
      <c r="B231" s="2" t="s">
        <v>370</v>
      </c>
      <c r="C231" s="2" t="s">
        <v>193</v>
      </c>
      <c r="D231" s="2" t="s">
        <v>56</v>
      </c>
      <c r="E231" s="2" t="s">
        <v>57</v>
      </c>
      <c r="F231" s="2">
        <v>9216</v>
      </c>
      <c r="G231" s="2">
        <v>0</v>
      </c>
      <c r="H231" s="2">
        <v>3</v>
      </c>
      <c r="I231" s="2">
        <v>4</v>
      </c>
      <c r="J231" s="2" t="s">
        <v>31</v>
      </c>
      <c r="K231" s="2" t="s">
        <v>22</v>
      </c>
    </row>
    <row r="232" spans="1:11">
      <c r="A232" s="2">
        <v>1287</v>
      </c>
      <c r="B232" s="2" t="s">
        <v>371</v>
      </c>
      <c r="C232" s="2" t="s">
        <v>202</v>
      </c>
      <c r="D232" s="2" t="s">
        <v>29</v>
      </c>
      <c r="E232" s="2" t="s">
        <v>30</v>
      </c>
      <c r="F232" s="2">
        <v>8112</v>
      </c>
      <c r="G232" s="2">
        <v>11</v>
      </c>
      <c r="H232" s="2">
        <v>1</v>
      </c>
      <c r="I232" s="2">
        <v>4</v>
      </c>
      <c r="J232" s="2" t="s">
        <v>131</v>
      </c>
      <c r="K232" s="2" t="s">
        <v>21</v>
      </c>
    </row>
    <row r="233" spans="1:11">
      <c r="A233" s="2">
        <v>1031</v>
      </c>
      <c r="B233" s="2" t="s">
        <v>372</v>
      </c>
      <c r="C233" s="2" t="s">
        <v>154</v>
      </c>
      <c r="D233" s="2" t="s">
        <v>13</v>
      </c>
      <c r="E233" s="2" t="s">
        <v>155</v>
      </c>
      <c r="F233" s="2">
        <v>13046</v>
      </c>
      <c r="G233" s="2">
        <v>8</v>
      </c>
      <c r="H233" s="2">
        <v>1</v>
      </c>
      <c r="I233" s="2">
        <v>4</v>
      </c>
      <c r="J233" s="2" t="s">
        <v>216</v>
      </c>
      <c r="K233" s="2" t="s">
        <v>21</v>
      </c>
    </row>
    <row r="234" spans="1:11">
      <c r="A234" s="2">
        <v>1282</v>
      </c>
      <c r="B234" s="2" t="s">
        <v>373</v>
      </c>
      <c r="C234" s="2" t="s">
        <v>83</v>
      </c>
      <c r="D234" s="2" t="s">
        <v>56</v>
      </c>
      <c r="E234" s="2" t="s">
        <v>57</v>
      </c>
      <c r="F234" s="2">
        <v>11387</v>
      </c>
      <c r="G234" s="2">
        <v>12</v>
      </c>
      <c r="H234" s="2">
        <v>3</v>
      </c>
      <c r="I234" s="2">
        <v>2</v>
      </c>
      <c r="J234" s="2" t="s">
        <v>21</v>
      </c>
      <c r="K234" s="2" t="s">
        <v>21</v>
      </c>
    </row>
    <row r="235" spans="1:11">
      <c r="A235" s="2">
        <v>1092</v>
      </c>
      <c r="B235" s="2" t="s">
        <v>374</v>
      </c>
      <c r="C235" s="2" t="s">
        <v>61</v>
      </c>
      <c r="D235" s="2" t="s">
        <v>49</v>
      </c>
      <c r="E235" s="2" t="s">
        <v>78</v>
      </c>
      <c r="F235" s="2">
        <v>9336</v>
      </c>
      <c r="G235" s="2">
        <v>14</v>
      </c>
      <c r="H235" s="2">
        <v>1</v>
      </c>
      <c r="I235" s="2">
        <v>4</v>
      </c>
      <c r="J235" s="2" t="s">
        <v>131</v>
      </c>
      <c r="K235" s="2" t="s">
        <v>51</v>
      </c>
    </row>
    <row r="236" spans="1:11">
      <c r="A236" s="2">
        <v>1248</v>
      </c>
      <c r="B236" s="2" t="s">
        <v>375</v>
      </c>
      <c r="C236" s="2" t="s">
        <v>297</v>
      </c>
      <c r="D236" s="2" t="s">
        <v>56</v>
      </c>
      <c r="E236" s="2" t="s">
        <v>59</v>
      </c>
      <c r="F236" s="2">
        <v>9403</v>
      </c>
      <c r="G236" s="2">
        <v>0</v>
      </c>
      <c r="H236" s="2">
        <v>3</v>
      </c>
      <c r="I236" s="2">
        <v>3</v>
      </c>
      <c r="J236" s="2" t="s">
        <v>45</v>
      </c>
      <c r="K236" s="2" t="s">
        <v>103</v>
      </c>
    </row>
    <row r="237" spans="1:11">
      <c r="A237" s="2">
        <v>1149</v>
      </c>
      <c r="B237" s="2" t="s">
        <v>376</v>
      </c>
      <c r="C237" s="2" t="s">
        <v>288</v>
      </c>
      <c r="D237" s="2" t="s">
        <v>56</v>
      </c>
      <c r="E237" s="2" t="s">
        <v>85</v>
      </c>
      <c r="F237" s="2">
        <v>8598</v>
      </c>
      <c r="G237" s="2">
        <v>8</v>
      </c>
      <c r="H237" s="2">
        <v>4</v>
      </c>
      <c r="I237" s="2">
        <v>3</v>
      </c>
      <c r="J237" s="2" t="s">
        <v>114</v>
      </c>
      <c r="K237" s="2" t="s">
        <v>41</v>
      </c>
    </row>
    <row r="238" spans="1:11">
      <c r="A238" s="2">
        <v>1245</v>
      </c>
      <c r="B238" s="2" t="s">
        <v>377</v>
      </c>
      <c r="C238" s="2" t="s">
        <v>130</v>
      </c>
      <c r="D238" s="2" t="s">
        <v>19</v>
      </c>
      <c r="E238" s="2" t="s">
        <v>20</v>
      </c>
      <c r="F238" s="2">
        <v>12828</v>
      </c>
      <c r="G238" s="2">
        <v>11</v>
      </c>
      <c r="H238" s="2">
        <v>3</v>
      </c>
      <c r="I238" s="2">
        <v>4</v>
      </c>
      <c r="J238" s="2" t="s">
        <v>103</v>
      </c>
      <c r="K238" s="2" t="s">
        <v>103</v>
      </c>
    </row>
    <row r="239" spans="1:11">
      <c r="A239" s="2">
        <v>1047</v>
      </c>
      <c r="B239" s="2" t="s">
        <v>378</v>
      </c>
      <c r="C239" s="2" t="s">
        <v>120</v>
      </c>
      <c r="D239" s="2" t="s">
        <v>29</v>
      </c>
      <c r="E239" s="2" t="s">
        <v>30</v>
      </c>
      <c r="F239" s="2">
        <v>12144</v>
      </c>
      <c r="G239" s="2">
        <v>15</v>
      </c>
      <c r="H239" s="2">
        <v>1</v>
      </c>
      <c r="I239" s="2">
        <v>3</v>
      </c>
      <c r="J239" s="2" t="s">
        <v>42</v>
      </c>
      <c r="K239" s="2" t="s">
        <v>92</v>
      </c>
    </row>
    <row r="240" spans="1:11">
      <c r="A240" s="2">
        <v>1037</v>
      </c>
      <c r="B240" s="2" t="s">
        <v>203</v>
      </c>
      <c r="C240" s="2" t="s">
        <v>204</v>
      </c>
      <c r="D240" s="2" t="s">
        <v>13</v>
      </c>
      <c r="E240" s="2" t="s">
        <v>155</v>
      </c>
      <c r="F240" s="2">
        <v>4282</v>
      </c>
      <c r="G240" s="2">
        <v>0</v>
      </c>
      <c r="H240" s="2">
        <v>3</v>
      </c>
      <c r="I240" s="2">
        <v>2</v>
      </c>
      <c r="J240" s="2" t="s">
        <v>169</v>
      </c>
      <c r="K240" s="2" t="s">
        <v>41</v>
      </c>
    </row>
    <row r="241" spans="1:11">
      <c r="A241" s="2">
        <v>1173</v>
      </c>
      <c r="B241" s="2" t="s">
        <v>210</v>
      </c>
      <c r="C241" s="2" t="s">
        <v>154</v>
      </c>
      <c r="D241" s="2" t="s">
        <v>13</v>
      </c>
      <c r="E241" s="2" t="s">
        <v>155</v>
      </c>
      <c r="F241" s="2">
        <v>3875</v>
      </c>
      <c r="G241" s="2">
        <v>4</v>
      </c>
      <c r="H241" s="2">
        <v>4</v>
      </c>
      <c r="I241" s="2">
        <v>4</v>
      </c>
      <c r="J241" s="2" t="s">
        <v>16</v>
      </c>
      <c r="K241" s="2" t="s">
        <v>45</v>
      </c>
    </row>
    <row r="242" spans="1:11">
      <c r="A242" s="2">
        <v>1088</v>
      </c>
      <c r="B242" s="2" t="s">
        <v>379</v>
      </c>
      <c r="C242" s="2" t="s">
        <v>190</v>
      </c>
      <c r="D242" s="2" t="s">
        <v>25</v>
      </c>
      <c r="E242" s="2" t="s">
        <v>26</v>
      </c>
      <c r="F242" s="2">
        <v>12346</v>
      </c>
      <c r="G242" s="2">
        <v>5</v>
      </c>
      <c r="H242" s="2">
        <v>4</v>
      </c>
      <c r="I242" s="2">
        <v>1</v>
      </c>
      <c r="J242" s="2" t="s">
        <v>216</v>
      </c>
      <c r="K242" s="2" t="s">
        <v>103</v>
      </c>
    </row>
    <row r="243" spans="1:11">
      <c r="A243" s="2">
        <v>1106</v>
      </c>
      <c r="B243" s="2" t="s">
        <v>380</v>
      </c>
      <c r="C243" s="2"/>
      <c r="D243" s="2" t="s">
        <v>19</v>
      </c>
      <c r="E243" s="2" t="s">
        <v>112</v>
      </c>
      <c r="F243" s="2">
        <v>7899</v>
      </c>
      <c r="G243" s="2">
        <v>10</v>
      </c>
      <c r="H243" s="2">
        <v>3</v>
      </c>
      <c r="I243" s="2">
        <v>1</v>
      </c>
      <c r="J243" s="2" t="s">
        <v>71</v>
      </c>
      <c r="K243" s="2" t="s">
        <v>21</v>
      </c>
    </row>
    <row r="244" spans="1:11">
      <c r="A244" s="2">
        <v>1208</v>
      </c>
      <c r="B244" s="2" t="s">
        <v>381</v>
      </c>
      <c r="C244" s="2" t="s">
        <v>198</v>
      </c>
      <c r="D244" s="2" t="s">
        <v>19</v>
      </c>
      <c r="E244" s="2" t="s">
        <v>20</v>
      </c>
      <c r="F244" s="2">
        <v>11713</v>
      </c>
      <c r="G244" s="2">
        <v>0</v>
      </c>
      <c r="H244" s="2">
        <v>2</v>
      </c>
      <c r="I244" s="2">
        <v>4</v>
      </c>
      <c r="J244" s="2" t="s">
        <v>131</v>
      </c>
      <c r="K244" s="2" t="s">
        <v>22</v>
      </c>
    </row>
    <row r="245" spans="1:11">
      <c r="A245" s="2">
        <v>1119</v>
      </c>
      <c r="B245" s="2" t="s">
        <v>382</v>
      </c>
      <c r="C245" s="2" t="s">
        <v>150</v>
      </c>
      <c r="D245" s="2" t="s">
        <v>56</v>
      </c>
      <c r="E245" s="2" t="s">
        <v>85</v>
      </c>
      <c r="F245" s="2">
        <v>12971</v>
      </c>
      <c r="G245" s="2">
        <v>10</v>
      </c>
      <c r="H245" s="2">
        <v>1</v>
      </c>
      <c r="I245" s="2">
        <v>2</v>
      </c>
      <c r="J245" s="2" t="s">
        <v>103</v>
      </c>
      <c r="K245" s="2" t="s">
        <v>51</v>
      </c>
    </row>
    <row r="246" spans="1:11">
      <c r="A246" s="2">
        <v>1069</v>
      </c>
      <c r="B246" s="2" t="s">
        <v>383</v>
      </c>
      <c r="C246" s="2" t="s">
        <v>33</v>
      </c>
      <c r="D246" s="2" t="s">
        <v>19</v>
      </c>
      <c r="E246" s="2" t="s">
        <v>20</v>
      </c>
      <c r="F246" s="2">
        <v>12412</v>
      </c>
      <c r="G246" s="2">
        <v>3</v>
      </c>
      <c r="H246" s="2">
        <v>4</v>
      </c>
      <c r="I246" s="2">
        <v>4</v>
      </c>
      <c r="J246" s="2" t="s">
        <v>92</v>
      </c>
      <c r="K246" s="2" t="s">
        <v>42</v>
      </c>
    </row>
    <row r="247" spans="1:11">
      <c r="A247" s="2">
        <v>1253</v>
      </c>
      <c r="B247" s="2" t="s">
        <v>384</v>
      </c>
      <c r="C247" s="2" t="s">
        <v>385</v>
      </c>
      <c r="D247" s="2" t="s">
        <v>49</v>
      </c>
      <c r="E247" s="2" t="s">
        <v>62</v>
      </c>
      <c r="F247" s="2">
        <v>14100</v>
      </c>
      <c r="G247" s="2">
        <v>19</v>
      </c>
      <c r="H247" s="2">
        <v>2</v>
      </c>
      <c r="I247" s="2">
        <v>3</v>
      </c>
      <c r="J247" s="2" t="s">
        <v>169</v>
      </c>
      <c r="K247" s="2" t="s">
        <v>63</v>
      </c>
    </row>
    <row r="248" spans="1:11">
      <c r="A248" s="2">
        <v>1207</v>
      </c>
      <c r="B248" s="2" t="s">
        <v>386</v>
      </c>
      <c r="C248" s="2" t="s">
        <v>127</v>
      </c>
      <c r="D248" s="2" t="s">
        <v>29</v>
      </c>
      <c r="E248" s="2" t="s">
        <v>102</v>
      </c>
      <c r="F248" s="2">
        <v>13352</v>
      </c>
      <c r="G248" s="2">
        <v>10</v>
      </c>
      <c r="H248" s="2">
        <v>2</v>
      </c>
      <c r="I248" s="2">
        <v>3</v>
      </c>
      <c r="J248" s="2" t="s">
        <v>51</v>
      </c>
      <c r="K248" s="2" t="s">
        <v>71</v>
      </c>
    </row>
    <row r="249" spans="1:11">
      <c r="A249" s="2">
        <v>1166</v>
      </c>
      <c r="B249" s="2" t="s">
        <v>387</v>
      </c>
      <c r="C249" s="2" t="s">
        <v>388</v>
      </c>
      <c r="D249" s="2" t="s">
        <v>49</v>
      </c>
      <c r="E249" s="2" t="s">
        <v>78</v>
      </c>
      <c r="F249" s="2">
        <v>9467</v>
      </c>
      <c r="G249" s="2">
        <v>9</v>
      </c>
      <c r="H249" s="2">
        <v>2</v>
      </c>
      <c r="I249" s="2">
        <v>4</v>
      </c>
      <c r="J249" s="2" t="s">
        <v>109</v>
      </c>
      <c r="K249" s="2" t="s">
        <v>71</v>
      </c>
    </row>
    <row r="250" spans="1:11">
      <c r="A250" s="2">
        <v>1234</v>
      </c>
      <c r="B250" s="2" t="s">
        <v>389</v>
      </c>
      <c r="C250" s="2" t="s">
        <v>163</v>
      </c>
      <c r="D250" s="2" t="s">
        <v>13</v>
      </c>
      <c r="E250" s="2" t="s">
        <v>155</v>
      </c>
      <c r="F250" s="2">
        <v>11643</v>
      </c>
      <c r="G250" s="2">
        <v>11</v>
      </c>
      <c r="H250" s="2">
        <v>2</v>
      </c>
      <c r="I250" s="2">
        <v>2</v>
      </c>
      <c r="J250" s="2" t="s">
        <v>51</v>
      </c>
      <c r="K250" s="2" t="s">
        <v>22</v>
      </c>
    </row>
    <row r="251" spans="1:11">
      <c r="A251" s="2">
        <v>1222</v>
      </c>
      <c r="B251" s="2" t="s">
        <v>390</v>
      </c>
      <c r="C251" s="2"/>
      <c r="D251" s="2" t="s">
        <v>25</v>
      </c>
      <c r="E251" s="2" t="s">
        <v>26</v>
      </c>
      <c r="F251" s="2">
        <v>13128</v>
      </c>
      <c r="G251" s="2">
        <v>19</v>
      </c>
      <c r="H251" s="2">
        <v>2</v>
      </c>
      <c r="I251" s="2">
        <v>4</v>
      </c>
      <c r="J251" s="2" t="s">
        <v>31</v>
      </c>
      <c r="K251" s="2" t="s">
        <v>31</v>
      </c>
    </row>
    <row r="252" spans="1:11">
      <c r="A252" s="2">
        <v>1237</v>
      </c>
      <c r="B252" s="2" t="s">
        <v>391</v>
      </c>
      <c r="C252" s="2" t="s">
        <v>61</v>
      </c>
      <c r="D252" s="2" t="s">
        <v>49</v>
      </c>
      <c r="E252" s="2" t="s">
        <v>78</v>
      </c>
      <c r="F252" s="2">
        <v>9083</v>
      </c>
      <c r="G252" s="2">
        <v>3</v>
      </c>
      <c r="H252" s="2">
        <v>4</v>
      </c>
      <c r="I252" s="2">
        <v>3</v>
      </c>
      <c r="J252" s="2" t="s">
        <v>131</v>
      </c>
      <c r="K252" s="2" t="s">
        <v>21</v>
      </c>
    </row>
    <row r="253" spans="1:11">
      <c r="A253" s="2">
        <v>1215</v>
      </c>
      <c r="B253" s="2" t="s">
        <v>392</v>
      </c>
      <c r="C253" s="2" t="s">
        <v>48</v>
      </c>
      <c r="D253" s="2" t="s">
        <v>49</v>
      </c>
      <c r="E253" s="2" t="s">
        <v>50</v>
      </c>
      <c r="F253" s="2">
        <v>7033</v>
      </c>
      <c r="G253" s="2">
        <v>9</v>
      </c>
      <c r="H253" s="2">
        <v>3</v>
      </c>
      <c r="I253" s="2">
        <v>2</v>
      </c>
      <c r="J253" s="2" t="s">
        <v>41</v>
      </c>
      <c r="K253" s="2" t="s">
        <v>22</v>
      </c>
    </row>
    <row r="254" spans="1:11">
      <c r="A254" s="2">
        <v>1289</v>
      </c>
      <c r="B254" s="2" t="s">
        <v>134</v>
      </c>
      <c r="C254" s="2" t="s">
        <v>333</v>
      </c>
      <c r="D254" s="2" t="s">
        <v>49</v>
      </c>
      <c r="E254" s="2" t="s">
        <v>78</v>
      </c>
      <c r="F254" s="2">
        <v>13289</v>
      </c>
      <c r="G254" s="2">
        <v>6</v>
      </c>
      <c r="H254" s="2">
        <v>4</v>
      </c>
      <c r="I254" s="2">
        <v>4</v>
      </c>
      <c r="J254" s="2" t="s">
        <v>103</v>
      </c>
      <c r="K254" s="2" t="s">
        <v>103</v>
      </c>
    </row>
    <row r="255" spans="1:11">
      <c r="A255" s="2">
        <v>1050</v>
      </c>
      <c r="B255" s="2" t="s">
        <v>393</v>
      </c>
      <c r="C255" s="2"/>
      <c r="D255" s="2" t="s">
        <v>49</v>
      </c>
      <c r="E255" s="2" t="s">
        <v>62</v>
      </c>
      <c r="F255" s="2">
        <v>7069</v>
      </c>
      <c r="G255" s="2">
        <v>12</v>
      </c>
      <c r="H255" s="2">
        <v>2</v>
      </c>
      <c r="I255" s="2">
        <v>4</v>
      </c>
      <c r="J255" s="2" t="s">
        <v>216</v>
      </c>
      <c r="K255" s="2" t="s">
        <v>103</v>
      </c>
    </row>
    <row r="256" spans="1:11">
      <c r="A256" s="2">
        <v>1043</v>
      </c>
      <c r="B256" s="2" t="s">
        <v>394</v>
      </c>
      <c r="C256" s="2"/>
      <c r="D256" s="2" t="s">
        <v>19</v>
      </c>
      <c r="E256" s="2" t="s">
        <v>20</v>
      </c>
      <c r="F256" s="2">
        <v>3582</v>
      </c>
      <c r="G256" s="2">
        <v>10</v>
      </c>
      <c r="H256" s="2">
        <v>2</v>
      </c>
      <c r="I256" s="2">
        <v>2</v>
      </c>
      <c r="J256" s="2" t="s">
        <v>51</v>
      </c>
      <c r="K256" s="2" t="s">
        <v>67</v>
      </c>
    </row>
    <row r="257" spans="1:11">
      <c r="A257" s="2">
        <v>1199</v>
      </c>
      <c r="B257" s="2" t="s">
        <v>395</v>
      </c>
      <c r="C257" s="2" t="s">
        <v>261</v>
      </c>
      <c r="D257" s="2" t="s">
        <v>25</v>
      </c>
      <c r="E257" s="2" t="s">
        <v>26</v>
      </c>
      <c r="F257" s="2">
        <v>7601</v>
      </c>
      <c r="G257" s="2">
        <v>12</v>
      </c>
      <c r="H257" s="2">
        <v>3</v>
      </c>
      <c r="I257" s="2">
        <v>2</v>
      </c>
      <c r="J257" s="2" t="s">
        <v>169</v>
      </c>
      <c r="K257" s="2" t="s">
        <v>74</v>
      </c>
    </row>
    <row r="258" spans="1:11">
      <c r="A258" s="2">
        <v>1140</v>
      </c>
      <c r="B258" s="2" t="s">
        <v>396</v>
      </c>
      <c r="C258" s="2" t="s">
        <v>193</v>
      </c>
      <c r="D258" s="2" t="s">
        <v>56</v>
      </c>
      <c r="E258" s="2" t="s">
        <v>59</v>
      </c>
      <c r="F258" s="2">
        <v>8979</v>
      </c>
      <c r="G258" s="2">
        <v>7</v>
      </c>
      <c r="H258" s="2">
        <v>3</v>
      </c>
      <c r="I258" s="2">
        <v>4</v>
      </c>
      <c r="J258" s="2" t="s">
        <v>103</v>
      </c>
      <c r="K258" s="2" t="s">
        <v>131</v>
      </c>
    </row>
    <row r="259" spans="1:11">
      <c r="A259" s="2">
        <v>1258</v>
      </c>
      <c r="B259" s="2" t="s">
        <v>397</v>
      </c>
      <c r="C259" s="2" t="s">
        <v>18</v>
      </c>
      <c r="D259" s="2" t="s">
        <v>19</v>
      </c>
      <c r="E259" s="2" t="s">
        <v>112</v>
      </c>
      <c r="F259" s="2">
        <v>11179</v>
      </c>
      <c r="G259" s="2">
        <v>8</v>
      </c>
      <c r="H259" s="2">
        <v>3</v>
      </c>
      <c r="I259" s="2">
        <v>3</v>
      </c>
      <c r="J259" s="2" t="s">
        <v>264</v>
      </c>
      <c r="K259" s="2" t="s">
        <v>67</v>
      </c>
    </row>
    <row r="260" spans="1:11">
      <c r="A260" s="2">
        <v>1276</v>
      </c>
      <c r="B260" s="2" t="s">
        <v>398</v>
      </c>
      <c r="C260" s="2" t="s">
        <v>198</v>
      </c>
      <c r="D260" s="2" t="s">
        <v>19</v>
      </c>
      <c r="E260" s="2" t="s">
        <v>20</v>
      </c>
      <c r="F260" s="2">
        <v>14206</v>
      </c>
      <c r="G260" s="2">
        <v>12</v>
      </c>
      <c r="H260" s="2">
        <v>2</v>
      </c>
      <c r="I260" s="2">
        <v>4</v>
      </c>
      <c r="J260" s="2" t="s">
        <v>131</v>
      </c>
      <c r="K260" s="2" t="s">
        <v>131</v>
      </c>
    </row>
    <row r="261" spans="1:11">
      <c r="A261" s="2">
        <v>1174</v>
      </c>
      <c r="B261" s="2" t="s">
        <v>399</v>
      </c>
      <c r="C261" s="2" t="s">
        <v>271</v>
      </c>
      <c r="D261" s="2" t="s">
        <v>29</v>
      </c>
      <c r="E261" s="2" t="s">
        <v>102</v>
      </c>
      <c r="F261" s="2">
        <v>12871</v>
      </c>
      <c r="G261" s="2">
        <v>5</v>
      </c>
      <c r="H261" s="2">
        <v>2</v>
      </c>
      <c r="I261" s="2">
        <v>4</v>
      </c>
      <c r="J261" s="2" t="s">
        <v>66</v>
      </c>
      <c r="K261" s="2" t="s">
        <v>22</v>
      </c>
    </row>
    <row r="262" spans="1:11">
      <c r="A262" s="2">
        <v>1064</v>
      </c>
      <c r="B262" s="2" t="s">
        <v>400</v>
      </c>
      <c r="C262" s="2" t="s">
        <v>83</v>
      </c>
      <c r="D262" s="2" t="s">
        <v>56</v>
      </c>
      <c r="E262" s="2" t="s">
        <v>85</v>
      </c>
      <c r="F262" s="2">
        <v>4788</v>
      </c>
      <c r="G262" s="2">
        <v>0</v>
      </c>
      <c r="H262" s="2">
        <v>2</v>
      </c>
      <c r="I262" s="2">
        <v>3</v>
      </c>
      <c r="J262" s="2" t="s">
        <v>51</v>
      </c>
      <c r="K262" s="2" t="s">
        <v>21</v>
      </c>
    </row>
    <row r="263" spans="1:11">
      <c r="A263" s="2">
        <v>1177</v>
      </c>
      <c r="B263" s="2" t="s">
        <v>401</v>
      </c>
      <c r="C263" s="2" t="s">
        <v>76</v>
      </c>
      <c r="D263" s="2" t="s">
        <v>13</v>
      </c>
      <c r="E263" s="2" t="s">
        <v>155</v>
      </c>
      <c r="F263" s="2">
        <v>6726</v>
      </c>
      <c r="G263" s="2">
        <v>12</v>
      </c>
      <c r="H263" s="2">
        <v>2</v>
      </c>
      <c r="I263" s="2">
        <v>1</v>
      </c>
      <c r="J263" s="2" t="s">
        <v>131</v>
      </c>
      <c r="K263" s="2" t="s">
        <v>103</v>
      </c>
    </row>
    <row r="264" spans="1:11">
      <c r="A264" s="2">
        <v>1264</v>
      </c>
      <c r="B264" s="2" t="s">
        <v>402</v>
      </c>
      <c r="C264" s="2" t="s">
        <v>275</v>
      </c>
      <c r="D264" s="2" t="s">
        <v>56</v>
      </c>
      <c r="E264" s="2" t="s">
        <v>57</v>
      </c>
      <c r="F264" s="2">
        <v>13361</v>
      </c>
      <c r="G264" s="2">
        <v>13</v>
      </c>
      <c r="H264" s="2">
        <v>1</v>
      </c>
      <c r="I264" s="2">
        <v>3</v>
      </c>
      <c r="J264" s="2" t="s">
        <v>137</v>
      </c>
      <c r="K264" s="2" t="s">
        <v>22</v>
      </c>
    </row>
    <row r="265" spans="1:11">
      <c r="A265" s="2">
        <v>1076</v>
      </c>
      <c r="B265" s="2" t="s">
        <v>403</v>
      </c>
      <c r="C265" s="2" t="s">
        <v>142</v>
      </c>
      <c r="D265" s="2" t="s">
        <v>49</v>
      </c>
      <c r="E265" s="2" t="s">
        <v>62</v>
      </c>
      <c r="F265" s="2">
        <v>9048</v>
      </c>
      <c r="G265" s="2">
        <v>2</v>
      </c>
      <c r="H265" s="2">
        <v>3</v>
      </c>
      <c r="I265" s="2">
        <v>2</v>
      </c>
      <c r="J265" s="2" t="s">
        <v>67</v>
      </c>
      <c r="K265" s="2" t="s">
        <v>74</v>
      </c>
    </row>
    <row r="266" spans="1:11">
      <c r="A266" s="2">
        <v>1277</v>
      </c>
      <c r="B266" s="2" t="s">
        <v>404</v>
      </c>
      <c r="C266" s="2" t="s">
        <v>202</v>
      </c>
      <c r="D266" s="2" t="s">
        <v>29</v>
      </c>
      <c r="E266" s="2" t="s">
        <v>102</v>
      </c>
      <c r="F266" s="2">
        <v>10162</v>
      </c>
      <c r="G266" s="2">
        <v>12</v>
      </c>
      <c r="H266" s="2">
        <v>3</v>
      </c>
      <c r="I266" s="2">
        <v>3</v>
      </c>
      <c r="J266" s="2" t="s">
        <v>51</v>
      </c>
      <c r="K266" s="2" t="s">
        <v>22</v>
      </c>
    </row>
    <row r="267" spans="1:11">
      <c r="A267" s="2">
        <v>1232</v>
      </c>
      <c r="B267" s="2" t="s">
        <v>405</v>
      </c>
      <c r="C267" s="2" t="s">
        <v>181</v>
      </c>
      <c r="D267" s="2" t="s">
        <v>49</v>
      </c>
      <c r="E267" s="2" t="s">
        <v>50</v>
      </c>
      <c r="F267" s="2">
        <v>10323</v>
      </c>
      <c r="G267" s="2">
        <v>4</v>
      </c>
      <c r="H267" s="2">
        <v>3</v>
      </c>
      <c r="I267" s="2">
        <v>2</v>
      </c>
      <c r="J267" s="2" t="s">
        <v>131</v>
      </c>
      <c r="K267" s="2" t="s">
        <v>42</v>
      </c>
    </row>
    <row r="268" spans="1:11">
      <c r="A268" s="2">
        <v>1197</v>
      </c>
      <c r="B268" s="2" t="s">
        <v>406</v>
      </c>
      <c r="C268" s="2" t="s">
        <v>300</v>
      </c>
      <c r="D268" s="2" t="s">
        <v>19</v>
      </c>
      <c r="E268" s="2" t="s">
        <v>20</v>
      </c>
      <c r="F268" s="2">
        <v>6277</v>
      </c>
      <c r="G268" s="2">
        <v>18</v>
      </c>
      <c r="H268" s="2">
        <v>2</v>
      </c>
      <c r="I268" s="2">
        <v>3</v>
      </c>
      <c r="J268" s="2" t="s">
        <v>71</v>
      </c>
      <c r="K268" s="2" t="s">
        <v>71</v>
      </c>
    </row>
    <row r="269" spans="1:11">
      <c r="A269" s="2">
        <v>1019</v>
      </c>
      <c r="B269" s="2" t="s">
        <v>407</v>
      </c>
      <c r="C269" s="2"/>
      <c r="D269" s="2" t="s">
        <v>29</v>
      </c>
      <c r="E269" s="2" t="s">
        <v>30</v>
      </c>
      <c r="F269" s="2">
        <v>4194</v>
      </c>
      <c r="G269" s="2">
        <v>11</v>
      </c>
      <c r="H269" s="2">
        <v>2</v>
      </c>
      <c r="I269" s="2">
        <v>4</v>
      </c>
      <c r="J269" s="2" t="s">
        <v>115</v>
      </c>
      <c r="K269" s="2" t="s">
        <v>31</v>
      </c>
    </row>
    <row r="271" spans="1:11">
      <c r="A271" s="2">
        <v>1023</v>
      </c>
      <c r="B271" s="2" t="s">
        <v>408</v>
      </c>
      <c r="C271" s="2" t="s">
        <v>163</v>
      </c>
      <c r="D271" s="2" t="s">
        <v>13</v>
      </c>
      <c r="E271" s="2" t="s">
        <v>44</v>
      </c>
      <c r="F271" s="2">
        <v>3590</v>
      </c>
      <c r="G271" s="2">
        <v>7</v>
      </c>
      <c r="H271" s="2">
        <v>3</v>
      </c>
      <c r="I271" s="2">
        <v>2</v>
      </c>
      <c r="J271" s="2" t="s">
        <v>103</v>
      </c>
      <c r="K271" s="2" t="s">
        <v>21</v>
      </c>
    </row>
    <row r="272" spans="1:11">
      <c r="A272" s="2">
        <v>1257</v>
      </c>
      <c r="B272" s="2" t="s">
        <v>409</v>
      </c>
      <c r="C272" s="2" t="s">
        <v>202</v>
      </c>
      <c r="D272" s="2" t="s">
        <v>29</v>
      </c>
      <c r="E272" s="2" t="s">
        <v>102</v>
      </c>
      <c r="F272" s="2">
        <v>4949</v>
      </c>
      <c r="G272" s="2">
        <v>2</v>
      </c>
      <c r="H272" s="2">
        <v>4</v>
      </c>
      <c r="I272" s="2">
        <v>4</v>
      </c>
      <c r="J272" s="2" t="s">
        <v>31</v>
      </c>
      <c r="K272" s="2" t="s">
        <v>67</v>
      </c>
    </row>
    <row r="273" spans="1:11">
      <c r="A273" s="2">
        <v>1014</v>
      </c>
      <c r="B273" s="2" t="s">
        <v>171</v>
      </c>
      <c r="C273" s="2" t="s">
        <v>172</v>
      </c>
      <c r="D273" s="2" t="s">
        <v>49</v>
      </c>
      <c r="E273" s="2" t="s">
        <v>50</v>
      </c>
      <c r="F273" s="2">
        <v>5247</v>
      </c>
      <c r="G273" s="2">
        <v>11</v>
      </c>
      <c r="H273" s="2">
        <v>2</v>
      </c>
      <c r="I273" s="2">
        <v>4</v>
      </c>
      <c r="J273" s="2" t="s">
        <v>115</v>
      </c>
      <c r="K273" s="2" t="s">
        <v>51</v>
      </c>
    </row>
    <row r="274" spans="1:11">
      <c r="A274" s="2">
        <v>1196</v>
      </c>
      <c r="B274" s="2" t="s">
        <v>410</v>
      </c>
      <c r="C274" s="2"/>
      <c r="D274" s="2" t="s">
        <v>49</v>
      </c>
      <c r="E274" s="2" t="s">
        <v>62</v>
      </c>
      <c r="F274" s="2">
        <v>5836</v>
      </c>
      <c r="G274" s="2">
        <v>0</v>
      </c>
      <c r="H274" s="2">
        <v>4</v>
      </c>
      <c r="I274" s="2">
        <v>4</v>
      </c>
      <c r="J274" s="2" t="s">
        <v>103</v>
      </c>
      <c r="K274" s="2" t="s">
        <v>114</v>
      </c>
    </row>
    <row r="275" spans="1:11">
      <c r="A275" s="2">
        <v>1192</v>
      </c>
      <c r="B275" s="2" t="s">
        <v>411</v>
      </c>
      <c r="C275" s="2" t="s">
        <v>130</v>
      </c>
      <c r="D275" s="2" t="s">
        <v>19</v>
      </c>
      <c r="E275" s="2" t="s">
        <v>34</v>
      </c>
      <c r="F275" s="2">
        <v>5134</v>
      </c>
      <c r="G275" s="2">
        <v>11</v>
      </c>
      <c r="H275" s="2">
        <v>2</v>
      </c>
      <c r="I275" s="2">
        <v>2</v>
      </c>
      <c r="J275" s="2" t="s">
        <v>22</v>
      </c>
      <c r="K275" s="2" t="s">
        <v>22</v>
      </c>
    </row>
    <row r="276" spans="1:11">
      <c r="A276" s="2">
        <v>1016</v>
      </c>
      <c r="B276" s="2" t="s">
        <v>412</v>
      </c>
      <c r="C276" s="2"/>
      <c r="D276" s="2" t="s">
        <v>29</v>
      </c>
      <c r="E276" s="2" t="s">
        <v>30</v>
      </c>
      <c r="F276" s="2">
        <v>6561</v>
      </c>
      <c r="G276" s="2">
        <v>11</v>
      </c>
      <c r="H276" s="2">
        <v>2</v>
      </c>
      <c r="I276" s="2">
        <v>3</v>
      </c>
      <c r="J276" s="2" t="s">
        <v>137</v>
      </c>
      <c r="K276" s="2" t="s">
        <v>107</v>
      </c>
    </row>
    <row r="277" spans="1:11">
      <c r="A277" s="2">
        <v>1201</v>
      </c>
      <c r="B277" s="2" t="s">
        <v>413</v>
      </c>
      <c r="C277" s="2" t="s">
        <v>190</v>
      </c>
      <c r="D277" s="2" t="s">
        <v>25</v>
      </c>
      <c r="E277" s="2" t="s">
        <v>26</v>
      </c>
      <c r="F277" s="2">
        <v>8767</v>
      </c>
      <c r="G277" s="2">
        <v>8</v>
      </c>
      <c r="H277" s="2">
        <v>1</v>
      </c>
      <c r="I277" s="2">
        <v>4</v>
      </c>
      <c r="J277" s="2" t="s">
        <v>31</v>
      </c>
      <c r="K277" s="2" t="s">
        <v>41</v>
      </c>
    </row>
    <row r="278" spans="1:11">
      <c r="A278" s="2">
        <v>1278</v>
      </c>
      <c r="B278" s="2" t="s">
        <v>414</v>
      </c>
      <c r="C278" s="2" t="s">
        <v>150</v>
      </c>
      <c r="D278" s="2" t="s">
        <v>56</v>
      </c>
      <c r="E278" s="2" t="s">
        <v>59</v>
      </c>
      <c r="F278" s="2">
        <v>4313</v>
      </c>
      <c r="G278" s="2">
        <v>0</v>
      </c>
      <c r="H278" s="2">
        <v>4</v>
      </c>
      <c r="I278" s="2">
        <v>3</v>
      </c>
      <c r="J278" s="2" t="s">
        <v>51</v>
      </c>
      <c r="K278" s="2" t="s">
        <v>51</v>
      </c>
    </row>
    <row r="279" spans="1:11">
      <c r="A279" s="2">
        <v>1083</v>
      </c>
      <c r="B279" s="2" t="s">
        <v>80</v>
      </c>
      <c r="C279" s="2" t="s">
        <v>81</v>
      </c>
      <c r="D279" s="2" t="s">
        <v>49</v>
      </c>
      <c r="E279" s="2" t="s">
        <v>62</v>
      </c>
      <c r="F279" s="2">
        <v>12750</v>
      </c>
      <c r="G279" s="2">
        <v>16</v>
      </c>
      <c r="H279" s="2">
        <v>2</v>
      </c>
      <c r="I279" s="2">
        <v>3</v>
      </c>
      <c r="J279" s="2" t="s">
        <v>51</v>
      </c>
      <c r="K279" s="2" t="s">
        <v>22</v>
      </c>
    </row>
    <row r="280" spans="1:11">
      <c r="A280" s="2">
        <v>1128</v>
      </c>
      <c r="B280" s="2" t="s">
        <v>415</v>
      </c>
      <c r="C280" s="2" t="s">
        <v>48</v>
      </c>
      <c r="D280" s="2" t="s">
        <v>49</v>
      </c>
      <c r="E280" s="2" t="s">
        <v>78</v>
      </c>
      <c r="F280" s="2">
        <v>11556</v>
      </c>
      <c r="G280" s="2">
        <v>0</v>
      </c>
      <c r="H280" s="2">
        <v>4</v>
      </c>
      <c r="I280" s="2">
        <v>4</v>
      </c>
      <c r="J280" s="2" t="s">
        <v>92</v>
      </c>
      <c r="K280" s="2" t="s">
        <v>71</v>
      </c>
    </row>
    <row r="281" spans="1:11">
      <c r="A281" s="2">
        <v>1184</v>
      </c>
      <c r="B281" s="2" t="s">
        <v>416</v>
      </c>
      <c r="C281" s="2"/>
      <c r="D281" s="2" t="s">
        <v>29</v>
      </c>
      <c r="E281" s="2" t="s">
        <v>30</v>
      </c>
      <c r="F281" s="2">
        <v>11168</v>
      </c>
      <c r="G281" s="2">
        <v>8</v>
      </c>
      <c r="H281" s="2">
        <v>3</v>
      </c>
      <c r="I281" s="2">
        <v>2</v>
      </c>
      <c r="J281" s="2" t="s">
        <v>51</v>
      </c>
      <c r="K281" s="2" t="s">
        <v>71</v>
      </c>
    </row>
    <row r="282" spans="1:11">
      <c r="A282" s="2">
        <v>1244</v>
      </c>
      <c r="B282" s="2" t="s">
        <v>417</v>
      </c>
      <c r="C282" s="2" t="s">
        <v>333</v>
      </c>
      <c r="D282" s="2" t="s">
        <v>49</v>
      </c>
      <c r="E282" s="2" t="s">
        <v>50</v>
      </c>
      <c r="F282" s="2">
        <v>4489</v>
      </c>
      <c r="G282" s="2">
        <v>10</v>
      </c>
      <c r="H282" s="2">
        <v>1</v>
      </c>
      <c r="I282" s="2">
        <v>3</v>
      </c>
      <c r="J282" s="2" t="s">
        <v>41</v>
      </c>
      <c r="K282" s="2" t="s">
        <v>21</v>
      </c>
    </row>
    <row r="283" spans="1:11">
      <c r="A283" s="2">
        <v>1261</v>
      </c>
      <c r="B283" s="2" t="s">
        <v>418</v>
      </c>
      <c r="C283" s="2" t="s">
        <v>101</v>
      </c>
      <c r="D283" s="2" t="s">
        <v>29</v>
      </c>
      <c r="E283" s="2" t="s">
        <v>102</v>
      </c>
      <c r="F283" s="2">
        <v>3755</v>
      </c>
      <c r="G283" s="2">
        <v>11</v>
      </c>
      <c r="H283" s="2">
        <v>3</v>
      </c>
      <c r="I283" s="2">
        <v>4</v>
      </c>
      <c r="J283" s="2" t="s">
        <v>66</v>
      </c>
      <c r="K283" s="2" t="s">
        <v>21</v>
      </c>
    </row>
    <row r="284" spans="1:11">
      <c r="A284" s="2">
        <v>1291</v>
      </c>
      <c r="B284" s="2" t="s">
        <v>419</v>
      </c>
      <c r="C284" s="2"/>
      <c r="D284" s="2" t="s">
        <v>13</v>
      </c>
      <c r="E284" s="2" t="s">
        <v>44</v>
      </c>
      <c r="F284" s="2">
        <v>14378</v>
      </c>
      <c r="G284" s="2">
        <v>7</v>
      </c>
      <c r="H284" s="2">
        <v>4</v>
      </c>
      <c r="I284" s="2">
        <v>4</v>
      </c>
      <c r="J284" s="2" t="s">
        <v>51</v>
      </c>
      <c r="K284" s="2" t="s">
        <v>67</v>
      </c>
    </row>
    <row r="285" spans="1:11">
      <c r="A285" s="2">
        <v>1045</v>
      </c>
      <c r="B285" s="2" t="s">
        <v>420</v>
      </c>
      <c r="C285" s="2" t="s">
        <v>244</v>
      </c>
      <c r="D285" s="2" t="s">
        <v>13</v>
      </c>
      <c r="E285" s="2" t="s">
        <v>14</v>
      </c>
      <c r="F285" s="2">
        <v>5661</v>
      </c>
      <c r="G285" s="2">
        <v>5</v>
      </c>
      <c r="H285" s="2">
        <v>3</v>
      </c>
      <c r="I285" s="2">
        <v>3</v>
      </c>
      <c r="J285" s="2" t="s">
        <v>22</v>
      </c>
      <c r="K285" s="2" t="s">
        <v>63</v>
      </c>
    </row>
    <row r="286" spans="1:11">
      <c r="A286" s="2">
        <v>1102</v>
      </c>
      <c r="B286" s="2" t="s">
        <v>421</v>
      </c>
      <c r="C286" s="2" t="s">
        <v>172</v>
      </c>
      <c r="D286" s="2" t="s">
        <v>49</v>
      </c>
      <c r="E286" s="2" t="s">
        <v>62</v>
      </c>
      <c r="F286" s="2">
        <v>4355</v>
      </c>
      <c r="G286" s="2">
        <v>1</v>
      </c>
      <c r="H286" s="2">
        <v>2</v>
      </c>
      <c r="I286" s="2">
        <v>3</v>
      </c>
      <c r="J286" s="2" t="s">
        <v>71</v>
      </c>
      <c r="K286" s="2" t="s">
        <v>22</v>
      </c>
    </row>
    <row r="287" spans="1:11">
      <c r="A287" s="2">
        <v>1182</v>
      </c>
      <c r="B287" s="2" t="s">
        <v>422</v>
      </c>
      <c r="C287" s="2" t="s">
        <v>150</v>
      </c>
      <c r="D287" s="2" t="s">
        <v>56</v>
      </c>
      <c r="E287" s="2" t="s">
        <v>59</v>
      </c>
      <c r="F287" s="2">
        <v>12112</v>
      </c>
      <c r="G287" s="2">
        <v>14</v>
      </c>
      <c r="H287" s="2">
        <v>1</v>
      </c>
      <c r="I287" s="2">
        <v>3</v>
      </c>
      <c r="J287" s="2" t="s">
        <v>103</v>
      </c>
      <c r="K287" s="2" t="s">
        <v>103</v>
      </c>
    </row>
    <row r="288" spans="1:11">
      <c r="A288" s="2">
        <v>1165</v>
      </c>
      <c r="B288" s="2" t="s">
        <v>423</v>
      </c>
      <c r="C288" s="2" t="s">
        <v>190</v>
      </c>
      <c r="D288" s="2" t="s">
        <v>25</v>
      </c>
      <c r="E288" s="2" t="s">
        <v>38</v>
      </c>
      <c r="F288" s="2">
        <v>7472</v>
      </c>
      <c r="G288" s="2">
        <v>4</v>
      </c>
      <c r="H288" s="2">
        <v>2</v>
      </c>
      <c r="I288" s="2">
        <v>3</v>
      </c>
      <c r="J288" s="2" t="s">
        <v>22</v>
      </c>
      <c r="K288" s="2" t="s">
        <v>71</v>
      </c>
    </row>
    <row r="289" spans="1:11">
      <c r="A289" s="2">
        <v>1002</v>
      </c>
      <c r="B289" s="2" t="s">
        <v>424</v>
      </c>
      <c r="C289" s="2" t="s">
        <v>55</v>
      </c>
      <c r="D289" s="2" t="s">
        <v>56</v>
      </c>
      <c r="E289" s="2" t="s">
        <v>59</v>
      </c>
      <c r="F289" s="2">
        <v>3776</v>
      </c>
      <c r="G289" s="2">
        <v>10</v>
      </c>
      <c r="H289" s="2">
        <v>2</v>
      </c>
      <c r="I289" s="2">
        <v>4</v>
      </c>
      <c r="J289" s="2" t="s">
        <v>51</v>
      </c>
      <c r="K289" s="2" t="s">
        <v>66</v>
      </c>
    </row>
    <row r="290" spans="1:11">
      <c r="A290" s="2">
        <v>1202</v>
      </c>
      <c r="B290" s="2" t="s">
        <v>425</v>
      </c>
      <c r="C290" s="2" t="s">
        <v>426</v>
      </c>
      <c r="D290" s="2" t="s">
        <v>56</v>
      </c>
      <c r="E290" s="2" t="s">
        <v>85</v>
      </c>
      <c r="F290" s="2">
        <v>9724</v>
      </c>
      <c r="G290" s="2">
        <v>7</v>
      </c>
      <c r="H290" s="2">
        <v>2</v>
      </c>
      <c r="I290" s="2">
        <v>1</v>
      </c>
      <c r="J290" s="2" t="s">
        <v>22</v>
      </c>
      <c r="K290" s="2" t="s">
        <v>103</v>
      </c>
    </row>
    <row r="291" spans="1:11">
      <c r="A291" s="2">
        <v>1250</v>
      </c>
      <c r="B291" s="2" t="s">
        <v>427</v>
      </c>
      <c r="C291" s="2" t="s">
        <v>244</v>
      </c>
      <c r="D291" s="2" t="s">
        <v>13</v>
      </c>
      <c r="E291" s="2" t="s">
        <v>14</v>
      </c>
      <c r="F291" s="2">
        <v>11816</v>
      </c>
      <c r="G291" s="2">
        <v>8</v>
      </c>
      <c r="H291" s="2">
        <v>3</v>
      </c>
      <c r="I291" s="2">
        <v>4</v>
      </c>
      <c r="J291" s="2" t="s">
        <v>109</v>
      </c>
      <c r="K291" s="2" t="s">
        <v>22</v>
      </c>
    </row>
    <row r="292" spans="1:11">
      <c r="A292" s="2">
        <v>1028</v>
      </c>
      <c r="B292" s="2" t="s">
        <v>428</v>
      </c>
      <c r="C292" s="2" t="s">
        <v>244</v>
      </c>
      <c r="D292" s="2" t="s">
        <v>13</v>
      </c>
      <c r="E292" s="2" t="s">
        <v>14</v>
      </c>
      <c r="F292" s="2">
        <v>13403</v>
      </c>
      <c r="G292" s="2">
        <v>6</v>
      </c>
      <c r="H292" s="2">
        <v>3</v>
      </c>
      <c r="I292" s="2">
        <v>4</v>
      </c>
      <c r="J292" s="2" t="s">
        <v>286</v>
      </c>
      <c r="K292" s="2" t="s">
        <v>71</v>
      </c>
    </row>
    <row r="293" spans="1:11">
      <c r="A293" s="2">
        <v>1238</v>
      </c>
      <c r="B293" s="2" t="s">
        <v>429</v>
      </c>
      <c r="C293" s="2" t="s">
        <v>18</v>
      </c>
      <c r="D293" s="2" t="s">
        <v>19</v>
      </c>
      <c r="E293" s="2" t="s">
        <v>20</v>
      </c>
      <c r="F293" s="2">
        <v>9007</v>
      </c>
      <c r="G293" s="2">
        <v>3</v>
      </c>
      <c r="H293" s="2">
        <v>1</v>
      </c>
      <c r="I293" s="2">
        <v>3</v>
      </c>
      <c r="J293" s="2" t="s">
        <v>74</v>
      </c>
      <c r="K293" s="2" t="s">
        <v>22</v>
      </c>
    </row>
    <row r="294" spans="1:11">
      <c r="A294" s="2">
        <v>1299</v>
      </c>
      <c r="B294" s="2" t="s">
        <v>430</v>
      </c>
      <c r="C294" s="2" t="s">
        <v>33</v>
      </c>
      <c r="D294" s="2" t="s">
        <v>19</v>
      </c>
      <c r="E294" s="2" t="s">
        <v>20</v>
      </c>
      <c r="F294" s="2">
        <v>11107</v>
      </c>
      <c r="G294" s="2">
        <v>5</v>
      </c>
      <c r="H294" s="2">
        <v>2</v>
      </c>
      <c r="I294" s="2">
        <v>1</v>
      </c>
      <c r="J294" s="2" t="s">
        <v>35</v>
      </c>
      <c r="K294" s="2" t="s">
        <v>103</v>
      </c>
    </row>
    <row r="295" spans="1:11">
      <c r="A295" s="2">
        <v>1145</v>
      </c>
      <c r="B295" s="2" t="s">
        <v>431</v>
      </c>
      <c r="C295" s="2"/>
      <c r="D295" s="2" t="s">
        <v>49</v>
      </c>
      <c r="E295" s="2" t="s">
        <v>62</v>
      </c>
      <c r="F295" s="2">
        <v>4970</v>
      </c>
      <c r="G295" s="2">
        <v>13</v>
      </c>
      <c r="H295" s="2">
        <v>3</v>
      </c>
      <c r="I295" s="2">
        <v>4</v>
      </c>
      <c r="J295" s="2" t="s">
        <v>51</v>
      </c>
      <c r="K295" s="2" t="s">
        <v>22</v>
      </c>
    </row>
    <row r="296" spans="1:11">
      <c r="A296" s="2">
        <v>1181</v>
      </c>
      <c r="B296" s="2" t="s">
        <v>432</v>
      </c>
      <c r="C296" s="2" t="s">
        <v>24</v>
      </c>
      <c r="D296" s="2" t="s">
        <v>25</v>
      </c>
      <c r="E296" s="2" t="s">
        <v>26</v>
      </c>
      <c r="F296" s="2">
        <v>13286</v>
      </c>
      <c r="G296" s="2">
        <v>0</v>
      </c>
      <c r="H296" s="2">
        <v>4</v>
      </c>
      <c r="I296" s="2">
        <v>4</v>
      </c>
      <c r="J296" s="2" t="s">
        <v>51</v>
      </c>
      <c r="K296" s="2" t="s">
        <v>21</v>
      </c>
    </row>
    <row r="297" spans="1:11">
      <c r="A297" s="2">
        <v>1159</v>
      </c>
      <c r="B297" s="2" t="s">
        <v>365</v>
      </c>
      <c r="C297" s="2" t="s">
        <v>366</v>
      </c>
      <c r="D297" s="2" t="s">
        <v>13</v>
      </c>
      <c r="E297" s="2" t="s">
        <v>155</v>
      </c>
      <c r="F297" s="2">
        <v>8399</v>
      </c>
      <c r="G297" s="2">
        <v>7</v>
      </c>
      <c r="H297" s="2">
        <v>4</v>
      </c>
      <c r="I297" s="2">
        <v>3</v>
      </c>
      <c r="J297" s="2" t="s">
        <v>51</v>
      </c>
      <c r="K297" s="2" t="s">
        <v>158</v>
      </c>
    </row>
    <row r="298" spans="1:11">
      <c r="A298" s="2">
        <v>1010</v>
      </c>
      <c r="B298" s="2" t="s">
        <v>433</v>
      </c>
      <c r="C298" s="2" t="s">
        <v>190</v>
      </c>
      <c r="D298" s="2" t="s">
        <v>25</v>
      </c>
      <c r="E298" s="2" t="s">
        <v>26</v>
      </c>
      <c r="F298" s="2">
        <v>11011</v>
      </c>
      <c r="G298" s="2">
        <v>10</v>
      </c>
      <c r="H298" s="2">
        <v>1</v>
      </c>
      <c r="I298" s="2">
        <v>2</v>
      </c>
      <c r="J298" s="2" t="s">
        <v>21</v>
      </c>
      <c r="K298" s="2" t="s">
        <v>22</v>
      </c>
    </row>
    <row r="299" spans="1:11">
      <c r="A299" s="2">
        <v>1241</v>
      </c>
      <c r="B299" s="2" t="s">
        <v>434</v>
      </c>
      <c r="C299" s="2" t="s">
        <v>233</v>
      </c>
      <c r="D299" s="2" t="s">
        <v>49</v>
      </c>
      <c r="E299" s="2" t="s">
        <v>78</v>
      </c>
      <c r="F299" s="2">
        <v>2816</v>
      </c>
      <c r="G299" s="2">
        <v>20</v>
      </c>
      <c r="H299" s="2">
        <v>1</v>
      </c>
      <c r="I299" s="2">
        <v>2</v>
      </c>
      <c r="J299" s="2" t="s">
        <v>22</v>
      </c>
      <c r="K299" s="2" t="s">
        <v>35</v>
      </c>
    </row>
    <row r="300" spans="1:11">
      <c r="A300" s="2">
        <v>1216</v>
      </c>
      <c r="B300" s="2" t="s">
        <v>435</v>
      </c>
      <c r="C300" s="2" t="s">
        <v>300</v>
      </c>
      <c r="D300" s="2" t="s">
        <v>19</v>
      </c>
      <c r="E300" s="2" t="s">
        <v>34</v>
      </c>
      <c r="F300" s="2">
        <v>4995</v>
      </c>
      <c r="G300" s="2">
        <v>18</v>
      </c>
      <c r="H300" s="2">
        <v>2</v>
      </c>
      <c r="I300" s="2">
        <v>1</v>
      </c>
      <c r="J300" s="2" t="s">
        <v>42</v>
      </c>
      <c r="K300" s="2" t="s">
        <v>22</v>
      </c>
    </row>
    <row r="301" spans="1:11">
      <c r="A301" s="2">
        <v>1284</v>
      </c>
      <c r="B301" s="2" t="s">
        <v>436</v>
      </c>
      <c r="C301" s="2" t="s">
        <v>87</v>
      </c>
      <c r="D301" s="2" t="s">
        <v>56</v>
      </c>
      <c r="E301" s="2" t="s">
        <v>85</v>
      </c>
      <c r="F301" s="2">
        <v>5686</v>
      </c>
      <c r="G301" s="2">
        <v>9</v>
      </c>
      <c r="H301" s="2">
        <v>4</v>
      </c>
      <c r="I301" s="2">
        <v>3</v>
      </c>
      <c r="J301" s="2" t="s">
        <v>131</v>
      </c>
      <c r="K301" s="2" t="s">
        <v>158</v>
      </c>
    </row>
    <row r="302" spans="1:11">
      <c r="A302" s="2">
        <v>1249</v>
      </c>
      <c r="B302" s="2" t="s">
        <v>437</v>
      </c>
      <c r="C302" s="2" t="s">
        <v>300</v>
      </c>
      <c r="D302" s="2" t="s">
        <v>19</v>
      </c>
      <c r="E302" s="2" t="s">
        <v>20</v>
      </c>
      <c r="F302" s="2">
        <v>3011</v>
      </c>
      <c r="G302" s="2">
        <v>17</v>
      </c>
      <c r="H302" s="2">
        <v>1</v>
      </c>
      <c r="I302" s="2">
        <v>2</v>
      </c>
      <c r="J302" s="2" t="s">
        <v>103</v>
      </c>
      <c r="K302" s="2" t="s">
        <v>22</v>
      </c>
    </row>
    <row r="303" spans="1:11">
      <c r="A303" s="2">
        <v>1251</v>
      </c>
      <c r="B303" s="2" t="s">
        <v>438</v>
      </c>
      <c r="C303" s="2" t="s">
        <v>187</v>
      </c>
      <c r="D303" s="2" t="s">
        <v>25</v>
      </c>
      <c r="E303" s="2" t="s">
        <v>148</v>
      </c>
      <c r="F303" s="2">
        <v>5204</v>
      </c>
      <c r="G303" s="2">
        <v>12</v>
      </c>
      <c r="H303" s="2">
        <v>1</v>
      </c>
      <c r="I303" s="2">
        <v>2</v>
      </c>
      <c r="J303" s="2" t="s">
        <v>35</v>
      </c>
      <c r="K303" s="2" t="s">
        <v>21</v>
      </c>
    </row>
    <row r="304" spans="1:11">
      <c r="A304" s="2">
        <v>1294</v>
      </c>
      <c r="B304" s="2" t="s">
        <v>439</v>
      </c>
      <c r="C304" s="2" t="s">
        <v>150</v>
      </c>
      <c r="D304" s="2" t="s">
        <v>56</v>
      </c>
      <c r="E304" s="2" t="s">
        <v>85</v>
      </c>
      <c r="F304" s="2">
        <v>4446</v>
      </c>
      <c r="G304" s="2">
        <v>0</v>
      </c>
      <c r="H304" s="2">
        <v>3</v>
      </c>
      <c r="I304" s="2">
        <v>3</v>
      </c>
      <c r="J304" s="2" t="s">
        <v>103</v>
      </c>
      <c r="K304" s="2" t="s">
        <v>35</v>
      </c>
    </row>
    <row r="305" spans="1:11">
      <c r="A305" s="2">
        <v>1155</v>
      </c>
      <c r="B305" s="2" t="s">
        <v>440</v>
      </c>
      <c r="C305" s="2"/>
      <c r="D305" s="2" t="s">
        <v>56</v>
      </c>
      <c r="E305" s="2" t="s">
        <v>59</v>
      </c>
      <c r="F305" s="2">
        <v>11314</v>
      </c>
      <c r="G305" s="2">
        <v>6</v>
      </c>
      <c r="H305" s="2">
        <v>4</v>
      </c>
      <c r="I305" s="2">
        <v>4</v>
      </c>
      <c r="J305" s="2" t="s">
        <v>63</v>
      </c>
      <c r="K305" s="2" t="s">
        <v>51</v>
      </c>
    </row>
    <row r="306" spans="1:11">
      <c r="A306" s="2">
        <v>1017</v>
      </c>
      <c r="B306" s="2" t="s">
        <v>441</v>
      </c>
      <c r="C306" s="2" t="s">
        <v>442</v>
      </c>
      <c r="D306" s="2" t="s">
        <v>13</v>
      </c>
      <c r="E306" s="2" t="s">
        <v>155</v>
      </c>
      <c r="F306" s="2">
        <v>5381</v>
      </c>
      <c r="G306" s="2">
        <v>7</v>
      </c>
      <c r="H306" s="2">
        <v>3</v>
      </c>
      <c r="I306" s="2">
        <v>4</v>
      </c>
      <c r="J306" s="2" t="s">
        <v>45</v>
      </c>
      <c r="K306" s="2" t="s">
        <v>51</v>
      </c>
    </row>
    <row r="307" spans="1:11">
      <c r="A307" s="2">
        <v>1132</v>
      </c>
      <c r="B307" s="2" t="s">
        <v>443</v>
      </c>
      <c r="C307" s="2" t="s">
        <v>184</v>
      </c>
      <c r="D307" s="2" t="s">
        <v>13</v>
      </c>
      <c r="E307" s="2" t="s">
        <v>44</v>
      </c>
      <c r="F307" s="2">
        <v>5241</v>
      </c>
      <c r="G307" s="2">
        <v>0</v>
      </c>
      <c r="H307" s="2">
        <v>2</v>
      </c>
      <c r="I307" s="2">
        <v>2</v>
      </c>
      <c r="J307" s="2" t="s">
        <v>131</v>
      </c>
      <c r="K307" s="2" t="s">
        <v>22</v>
      </c>
    </row>
    <row r="308" spans="1:11">
      <c r="A308" s="2">
        <v>1265</v>
      </c>
      <c r="B308" s="2" t="s">
        <v>444</v>
      </c>
      <c r="C308" s="2" t="s">
        <v>445</v>
      </c>
      <c r="D308" s="2" t="s">
        <v>25</v>
      </c>
      <c r="E308" s="2" t="s">
        <v>38</v>
      </c>
      <c r="F308" s="2">
        <v>7663</v>
      </c>
      <c r="G308" s="2">
        <v>2</v>
      </c>
      <c r="H308" s="2">
        <v>2</v>
      </c>
      <c r="I308" s="2">
        <v>3</v>
      </c>
      <c r="J308" s="2" t="s">
        <v>131</v>
      </c>
      <c r="K308" s="2" t="s">
        <v>103</v>
      </c>
    </row>
    <row r="309" spans="1:11">
      <c r="A309" s="2">
        <v>1112</v>
      </c>
      <c r="B309" s="2" t="s">
        <v>446</v>
      </c>
      <c r="C309" s="2" t="s">
        <v>447</v>
      </c>
      <c r="D309" s="2" t="s">
        <v>56</v>
      </c>
      <c r="E309" s="2" t="s">
        <v>59</v>
      </c>
      <c r="F309" s="2">
        <v>7866</v>
      </c>
      <c r="G309" s="2">
        <v>3</v>
      </c>
      <c r="H309" s="2">
        <v>3</v>
      </c>
      <c r="I309" s="2">
        <v>4</v>
      </c>
      <c r="J309" s="2" t="s">
        <v>39</v>
      </c>
      <c r="K309" s="2" t="s">
        <v>51</v>
      </c>
    </row>
    <row r="310" spans="1:11">
      <c r="A310" s="2">
        <v>1060</v>
      </c>
      <c r="B310" s="2" t="s">
        <v>448</v>
      </c>
      <c r="C310" s="2" t="s">
        <v>101</v>
      </c>
      <c r="D310" s="2" t="s">
        <v>29</v>
      </c>
      <c r="E310" s="2" t="s">
        <v>30</v>
      </c>
      <c r="F310" s="2">
        <v>3136</v>
      </c>
      <c r="G310" s="2">
        <v>2</v>
      </c>
      <c r="H310" s="2">
        <v>3</v>
      </c>
      <c r="I310" s="2">
        <v>4</v>
      </c>
      <c r="J310" s="2" t="s">
        <v>22</v>
      </c>
      <c r="K310" s="2" t="s">
        <v>67</v>
      </c>
    </row>
    <row r="311" spans="1:11">
      <c r="A311" s="2">
        <v>1053</v>
      </c>
      <c r="B311" s="2" t="s">
        <v>449</v>
      </c>
      <c r="C311" s="2" t="s">
        <v>83</v>
      </c>
      <c r="D311" s="2" t="s">
        <v>56</v>
      </c>
      <c r="E311" s="2" t="s">
        <v>57</v>
      </c>
      <c r="F311" s="2">
        <v>9952</v>
      </c>
      <c r="G311" s="2">
        <v>5</v>
      </c>
      <c r="H311" s="2">
        <v>3</v>
      </c>
      <c r="I311" s="2">
        <v>3</v>
      </c>
      <c r="J311" s="2" t="s">
        <v>66</v>
      </c>
      <c r="K311" s="2" t="s">
        <v>22</v>
      </c>
    </row>
    <row r="312" spans="1:11">
      <c r="A312" s="2">
        <v>1300</v>
      </c>
      <c r="B312" s="2" t="s">
        <v>450</v>
      </c>
      <c r="C312" s="2" t="s">
        <v>451</v>
      </c>
      <c r="D312" s="2" t="s">
        <v>25</v>
      </c>
      <c r="E312" s="2" t="s">
        <v>38</v>
      </c>
      <c r="F312" s="2">
        <v>11116</v>
      </c>
      <c r="G312" s="2">
        <v>7</v>
      </c>
      <c r="H312" s="2">
        <v>2</v>
      </c>
      <c r="I312" s="2">
        <v>4</v>
      </c>
      <c r="J312" s="2" t="s">
        <v>219</v>
      </c>
      <c r="K312" s="2" t="s">
        <v>51</v>
      </c>
    </row>
    <row r="313" spans="1:11">
      <c r="A313" s="2">
        <v>1236</v>
      </c>
      <c r="B313" s="2" t="s">
        <v>452</v>
      </c>
      <c r="C313" s="2" t="s">
        <v>442</v>
      </c>
      <c r="D313" s="2" t="s">
        <v>13</v>
      </c>
      <c r="E313" s="2" t="s">
        <v>155</v>
      </c>
      <c r="F313" s="2">
        <v>5065</v>
      </c>
      <c r="G313" s="2">
        <v>3</v>
      </c>
      <c r="H313" s="2">
        <v>4</v>
      </c>
      <c r="I313" s="2">
        <v>2</v>
      </c>
      <c r="J313" s="2" t="s">
        <v>22</v>
      </c>
      <c r="K313" s="2" t="s">
        <v>22</v>
      </c>
    </row>
    <row r="314" spans="1:11">
      <c r="A314" s="2">
        <v>1046</v>
      </c>
      <c r="B314" s="2" t="s">
        <v>453</v>
      </c>
      <c r="C314" s="2" t="s">
        <v>198</v>
      </c>
      <c r="D314" s="2" t="s">
        <v>19</v>
      </c>
      <c r="E314" s="2" t="s">
        <v>20</v>
      </c>
      <c r="F314" s="2">
        <v>7643</v>
      </c>
      <c r="G314" s="2">
        <v>7</v>
      </c>
      <c r="H314" s="2">
        <v>3</v>
      </c>
      <c r="I314" s="2">
        <v>2</v>
      </c>
      <c r="J314" s="2" t="s">
        <v>41</v>
      </c>
      <c r="K314" s="2" t="s">
        <v>103</v>
      </c>
    </row>
    <row r="315" spans="1:11">
      <c r="A315" s="2">
        <v>1118</v>
      </c>
      <c r="B315" s="2" t="s">
        <v>454</v>
      </c>
      <c r="C315" s="2" t="s">
        <v>244</v>
      </c>
      <c r="D315" s="2" t="s">
        <v>13</v>
      </c>
      <c r="E315" s="2" t="s">
        <v>14</v>
      </c>
      <c r="F315" s="2">
        <v>7422</v>
      </c>
      <c r="G315" s="2">
        <v>15</v>
      </c>
      <c r="H315" s="2">
        <v>1</v>
      </c>
      <c r="I315" s="2">
        <v>4</v>
      </c>
      <c r="J315" s="2" t="s">
        <v>22</v>
      </c>
      <c r="K315" s="2" t="s">
        <v>51</v>
      </c>
    </row>
    <row r="316" spans="1:11">
      <c r="A316" s="2">
        <v>1187</v>
      </c>
      <c r="B316" s="2" t="s">
        <v>455</v>
      </c>
      <c r="C316" s="2" t="s">
        <v>233</v>
      </c>
      <c r="D316" s="2" t="s">
        <v>49</v>
      </c>
      <c r="E316" s="2" t="s">
        <v>62</v>
      </c>
      <c r="F316" s="2">
        <v>9082</v>
      </c>
      <c r="G316" s="2">
        <v>13</v>
      </c>
      <c r="H316" s="2">
        <v>2</v>
      </c>
      <c r="I316" s="2">
        <v>3</v>
      </c>
      <c r="J316" s="2" t="s">
        <v>51</v>
      </c>
      <c r="K316" s="2" t="s">
        <v>67</v>
      </c>
    </row>
    <row r="317" spans="1:11">
      <c r="A317" s="2">
        <v>1194</v>
      </c>
      <c r="B317" s="2" t="s">
        <v>456</v>
      </c>
      <c r="C317" s="2" t="s">
        <v>65</v>
      </c>
      <c r="D317" s="2" t="s">
        <v>25</v>
      </c>
      <c r="E317" s="2" t="s">
        <v>38</v>
      </c>
      <c r="F317" s="2">
        <v>8967</v>
      </c>
      <c r="G317" s="2">
        <v>3</v>
      </c>
      <c r="H317" s="2">
        <v>2</v>
      </c>
      <c r="I317" s="2">
        <v>4</v>
      </c>
      <c r="J317" s="2" t="s">
        <v>131</v>
      </c>
      <c r="K317" s="2" t="s">
        <v>156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3939-365F-425F-9BC5-D5ACB8DCF50F}">
  <dimension ref="A1:R301"/>
  <sheetViews>
    <sheetView workbookViewId="0">
      <selection activeCell="G16" sqref="G16"/>
    </sheetView>
  </sheetViews>
  <sheetFormatPr defaultRowHeight="14.4"/>
  <cols>
    <col min="1" max="1" width="12.88671875" bestFit="1" customWidth="1"/>
    <col min="2" max="2" width="21.88671875" customWidth="1"/>
    <col min="3" max="3" width="23.109375" bestFit="1" customWidth="1"/>
    <col min="4" max="4" width="10.6640625" bestFit="1" customWidth="1"/>
    <col min="5" max="5" width="17.33203125" bestFit="1" customWidth="1"/>
    <col min="6" max="6" width="16.109375" bestFit="1" customWidth="1"/>
    <col min="7" max="7" width="16" bestFit="1" customWidth="1"/>
    <col min="8" max="8" width="18.21875" bestFit="1" customWidth="1"/>
    <col min="9" max="9" width="20" bestFit="1" customWidth="1"/>
    <col min="10" max="10" width="19.77734375" bestFit="1" customWidth="1"/>
    <col min="11" max="11" width="9.109375" bestFit="1" customWidth="1"/>
    <col min="12" max="12" width="17.77734375" bestFit="1" customWidth="1"/>
    <col min="13" max="13" width="15.77734375" bestFit="1" customWidth="1"/>
    <col min="14" max="14" width="17" bestFit="1" customWidth="1"/>
    <col min="17" max="17" width="16" bestFit="1" customWidth="1"/>
    <col min="18" max="18" width="17.77734375" bestFit="1" customWidth="1"/>
  </cols>
  <sheetData>
    <row r="1" spans="1:18">
      <c r="A1" s="1" t="s">
        <v>0</v>
      </c>
      <c r="B1" s="1" t="s">
        <v>1</v>
      </c>
      <c r="C1" s="1" t="s">
        <v>2</v>
      </c>
      <c r="D1" s="1" t="s">
        <v>3</v>
      </c>
      <c r="E1" s="1" t="s">
        <v>4</v>
      </c>
      <c r="F1" s="1" t="s">
        <v>5</v>
      </c>
      <c r="G1" s="1" t="s">
        <v>6</v>
      </c>
      <c r="H1" s="1" t="s">
        <v>7</v>
      </c>
      <c r="I1" s="1" t="s">
        <v>8</v>
      </c>
      <c r="J1" s="1" t="s">
        <v>9</v>
      </c>
      <c r="K1" s="1" t="s">
        <v>10</v>
      </c>
      <c r="L1" s="1" t="s">
        <v>673</v>
      </c>
      <c r="M1" s="1" t="s">
        <v>674</v>
      </c>
      <c r="N1" s="1" t="s">
        <v>675</v>
      </c>
      <c r="Q1" s="1"/>
      <c r="R1" s="1"/>
    </row>
    <row r="2" spans="1:18">
      <c r="A2" s="2">
        <v>1001</v>
      </c>
      <c r="B2" s="4" t="s">
        <v>458</v>
      </c>
      <c r="C2" s="2" t="s">
        <v>33</v>
      </c>
      <c r="D2" s="2" t="s">
        <v>19</v>
      </c>
      <c r="E2" s="2" t="s">
        <v>112</v>
      </c>
      <c r="F2" s="2">
        <v>11113</v>
      </c>
      <c r="G2" s="2">
        <v>8</v>
      </c>
      <c r="H2" s="2">
        <v>3</v>
      </c>
      <c r="I2" s="2">
        <v>3</v>
      </c>
      <c r="J2" s="2" t="s">
        <v>169</v>
      </c>
      <c r="K2" s="2" t="s">
        <v>67</v>
      </c>
      <c r="L2">
        <f>IF(K2="YES",1,0)</f>
        <v>0</v>
      </c>
      <c r="M2" t="str">
        <f>IF(F2&lt;4500,"Low",IF(F2&lt;9000,"Mid","High"))</f>
        <v>High</v>
      </c>
      <c r="N2" t="str">
        <f>IF(G2&lt;5,"Low (&lt;5h)",IF(G2&lt;15,"Medium (5-14h)","High (15h+)"))</f>
        <v>Medium (5-14h)</v>
      </c>
      <c r="Q2" s="2"/>
    </row>
    <row r="3" spans="1:18">
      <c r="A3" s="2">
        <v>1002</v>
      </c>
      <c r="B3" s="4" t="s">
        <v>424</v>
      </c>
      <c r="C3" s="2" t="s">
        <v>83</v>
      </c>
      <c r="D3" s="2" t="s">
        <v>56</v>
      </c>
      <c r="E3" s="2" t="s">
        <v>59</v>
      </c>
      <c r="F3" s="2">
        <v>3776</v>
      </c>
      <c r="G3" s="2">
        <v>10</v>
      </c>
      <c r="H3" s="2">
        <v>2</v>
      </c>
      <c r="I3" s="2">
        <v>4</v>
      </c>
      <c r="J3" s="2" t="s">
        <v>169</v>
      </c>
      <c r="K3" s="2" t="s">
        <v>169</v>
      </c>
      <c r="L3">
        <f t="shared" ref="L3:L66" si="0">IF(K3="YES",1,0)</f>
        <v>1</v>
      </c>
      <c r="M3" t="str">
        <f t="shared" ref="M3:M66" si="1">IF(F3&lt;4500,"Low",IF(F3&lt;9000,"Mid","High"))</f>
        <v>Low</v>
      </c>
      <c r="N3" t="str">
        <f t="shared" ref="N3:N66" si="2">IF(G3&lt;5,"Low (&lt;5h)",IF(G3&lt;15,"Medium (5-14h)","High (15h+)"))</f>
        <v>Medium (5-14h)</v>
      </c>
      <c r="P3" s="6"/>
      <c r="Q3" s="2"/>
    </row>
    <row r="4" spans="1:18">
      <c r="A4" s="2">
        <v>1003</v>
      </c>
      <c r="B4" s="4" t="s">
        <v>179</v>
      </c>
      <c r="C4" s="2" t="s">
        <v>83</v>
      </c>
      <c r="D4" s="2" t="s">
        <v>56</v>
      </c>
      <c r="E4" s="2" t="s">
        <v>59</v>
      </c>
      <c r="F4" s="2">
        <v>12188</v>
      </c>
      <c r="G4" s="2">
        <v>10</v>
      </c>
      <c r="H4" s="2">
        <v>2</v>
      </c>
      <c r="I4" s="2">
        <v>4</v>
      </c>
      <c r="J4" s="2" t="s">
        <v>169</v>
      </c>
      <c r="K4" s="2" t="s">
        <v>169</v>
      </c>
      <c r="L4">
        <f t="shared" si="0"/>
        <v>1</v>
      </c>
      <c r="M4" t="str">
        <f t="shared" si="1"/>
        <v>High</v>
      </c>
      <c r="N4" t="str">
        <f t="shared" si="2"/>
        <v>Medium (5-14h)</v>
      </c>
      <c r="Q4" s="2"/>
    </row>
    <row r="5" spans="1:18">
      <c r="A5" s="2">
        <v>1004</v>
      </c>
      <c r="B5" s="4" t="s">
        <v>250</v>
      </c>
      <c r="C5" s="2" t="s">
        <v>101</v>
      </c>
      <c r="D5" s="2" t="s">
        <v>29</v>
      </c>
      <c r="E5" s="2" t="s">
        <v>30</v>
      </c>
      <c r="F5" s="2">
        <v>9319</v>
      </c>
      <c r="G5" s="2">
        <v>0</v>
      </c>
      <c r="H5" s="2">
        <v>3</v>
      </c>
      <c r="I5" s="2">
        <v>1</v>
      </c>
      <c r="J5" s="2" t="s">
        <v>67</v>
      </c>
      <c r="K5" s="2" t="s">
        <v>67</v>
      </c>
      <c r="L5">
        <f t="shared" si="0"/>
        <v>0</v>
      </c>
      <c r="M5" t="str">
        <f t="shared" si="1"/>
        <v>High</v>
      </c>
      <c r="N5" t="str">
        <f t="shared" si="2"/>
        <v>Low (&lt;5h)</v>
      </c>
      <c r="Q5" s="2"/>
    </row>
    <row r="6" spans="1:18">
      <c r="A6" s="2">
        <v>1005</v>
      </c>
      <c r="B6" s="4" t="s">
        <v>459</v>
      </c>
      <c r="C6" s="2" t="s">
        <v>33</v>
      </c>
      <c r="D6" s="2" t="s">
        <v>19</v>
      </c>
      <c r="E6" s="2" t="s">
        <v>34</v>
      </c>
      <c r="F6" s="2">
        <v>8020</v>
      </c>
      <c r="G6" s="2">
        <v>16</v>
      </c>
      <c r="H6" s="2">
        <v>1</v>
      </c>
      <c r="I6" s="2">
        <v>3</v>
      </c>
      <c r="J6" s="2" t="s">
        <v>67</v>
      </c>
      <c r="K6" s="2" t="s">
        <v>67</v>
      </c>
      <c r="L6">
        <f t="shared" si="0"/>
        <v>0</v>
      </c>
      <c r="M6" t="str">
        <f t="shared" si="1"/>
        <v>Mid</v>
      </c>
      <c r="N6" t="str">
        <f t="shared" si="2"/>
        <v>High (15h+)</v>
      </c>
      <c r="Q6" s="2"/>
    </row>
    <row r="7" spans="1:18">
      <c r="A7" s="2">
        <v>1006</v>
      </c>
      <c r="B7" s="4" t="s">
        <v>460</v>
      </c>
      <c r="C7" s="2" t="s">
        <v>33</v>
      </c>
      <c r="D7" s="2" t="s">
        <v>19</v>
      </c>
      <c r="E7" s="2" t="s">
        <v>112</v>
      </c>
      <c r="F7" s="2">
        <v>11591</v>
      </c>
      <c r="G7" s="2">
        <v>5</v>
      </c>
      <c r="H7" s="2">
        <v>1</v>
      </c>
      <c r="I7" s="2">
        <v>1</v>
      </c>
      <c r="J7" s="2" t="s">
        <v>169</v>
      </c>
      <c r="K7" s="2" t="s">
        <v>67</v>
      </c>
      <c r="L7">
        <f t="shared" si="0"/>
        <v>0</v>
      </c>
      <c r="M7" t="str">
        <f t="shared" si="1"/>
        <v>High</v>
      </c>
      <c r="N7" t="str">
        <f t="shared" si="2"/>
        <v>Medium (5-14h)</v>
      </c>
      <c r="Q7" s="2"/>
    </row>
    <row r="8" spans="1:18">
      <c r="A8" s="2">
        <v>1007</v>
      </c>
      <c r="B8" s="4" t="s">
        <v>461</v>
      </c>
      <c r="C8" s="2" t="s">
        <v>33</v>
      </c>
      <c r="D8" s="2" t="s">
        <v>19</v>
      </c>
      <c r="E8" s="2" t="s">
        <v>112</v>
      </c>
      <c r="F8" s="2">
        <v>11452</v>
      </c>
      <c r="G8" s="2">
        <v>5</v>
      </c>
      <c r="H8" s="2">
        <v>1</v>
      </c>
      <c r="I8" s="2">
        <v>3</v>
      </c>
      <c r="J8" s="2" t="s">
        <v>67</v>
      </c>
      <c r="K8" s="2" t="s">
        <v>67</v>
      </c>
      <c r="L8">
        <f t="shared" si="0"/>
        <v>0</v>
      </c>
      <c r="M8" t="str">
        <f t="shared" si="1"/>
        <v>High</v>
      </c>
      <c r="N8" t="str">
        <f t="shared" si="2"/>
        <v>Medium (5-14h)</v>
      </c>
      <c r="Q8" s="2"/>
    </row>
    <row r="9" spans="1:18">
      <c r="A9" s="2">
        <v>1008</v>
      </c>
      <c r="B9" s="4" t="s">
        <v>189</v>
      </c>
      <c r="C9" s="2" t="s">
        <v>24</v>
      </c>
      <c r="D9" s="2" t="s">
        <v>25</v>
      </c>
      <c r="E9" s="2" t="s">
        <v>148</v>
      </c>
      <c r="F9" s="2">
        <v>12714</v>
      </c>
      <c r="G9" s="2">
        <v>16</v>
      </c>
      <c r="H9" s="2">
        <v>2</v>
      </c>
      <c r="I9" s="2">
        <v>4</v>
      </c>
      <c r="J9" s="2" t="s">
        <v>169</v>
      </c>
      <c r="K9" s="2" t="s">
        <v>169</v>
      </c>
      <c r="L9">
        <f t="shared" si="0"/>
        <v>1</v>
      </c>
      <c r="M9" t="str">
        <f t="shared" si="1"/>
        <v>High</v>
      </c>
      <c r="N9" t="str">
        <f t="shared" si="2"/>
        <v>High (15h+)</v>
      </c>
      <c r="Q9" s="2"/>
    </row>
    <row r="10" spans="1:18">
      <c r="A10" s="2">
        <v>1009</v>
      </c>
      <c r="B10" s="4" t="s">
        <v>462</v>
      </c>
      <c r="C10" s="2" t="s">
        <v>233</v>
      </c>
      <c r="D10" s="2" t="s">
        <v>49</v>
      </c>
      <c r="E10" s="2" t="s">
        <v>78</v>
      </c>
      <c r="F10" s="2">
        <v>9285</v>
      </c>
      <c r="G10" s="2">
        <v>0</v>
      </c>
      <c r="H10" s="2">
        <v>1</v>
      </c>
      <c r="I10" s="2">
        <v>4</v>
      </c>
      <c r="J10" s="2" t="s">
        <v>169</v>
      </c>
      <c r="K10" s="2" t="s">
        <v>67</v>
      </c>
      <c r="L10">
        <f t="shared" si="0"/>
        <v>0</v>
      </c>
      <c r="M10" t="str">
        <f t="shared" si="1"/>
        <v>High</v>
      </c>
      <c r="N10" t="str">
        <f t="shared" si="2"/>
        <v>Low (&lt;5h)</v>
      </c>
      <c r="Q10" s="2"/>
    </row>
    <row r="11" spans="1:18">
      <c r="A11" s="2">
        <v>1010</v>
      </c>
      <c r="B11" s="4" t="s">
        <v>463</v>
      </c>
      <c r="C11" s="2" t="s">
        <v>24</v>
      </c>
      <c r="D11" s="2" t="s">
        <v>25</v>
      </c>
      <c r="E11" s="2" t="s">
        <v>26</v>
      </c>
      <c r="F11" s="2">
        <v>11011</v>
      </c>
      <c r="G11" s="2">
        <v>10</v>
      </c>
      <c r="H11" s="2">
        <v>1</v>
      </c>
      <c r="I11" s="2">
        <v>2</v>
      </c>
      <c r="J11" s="2" t="s">
        <v>67</v>
      </c>
      <c r="K11" s="2" t="s">
        <v>67</v>
      </c>
      <c r="L11">
        <f t="shared" si="0"/>
        <v>0</v>
      </c>
      <c r="M11" t="str">
        <f t="shared" si="1"/>
        <v>High</v>
      </c>
      <c r="N11" t="str">
        <f t="shared" si="2"/>
        <v>Medium (5-14h)</v>
      </c>
      <c r="Q11" s="2"/>
    </row>
    <row r="12" spans="1:18">
      <c r="A12" s="2">
        <v>1011</v>
      </c>
      <c r="B12" s="4" t="s">
        <v>464</v>
      </c>
      <c r="C12" s="2" t="s">
        <v>101</v>
      </c>
      <c r="D12" s="2" t="s">
        <v>29</v>
      </c>
      <c r="E12" s="2" t="s">
        <v>30</v>
      </c>
      <c r="F12" s="2">
        <v>11917</v>
      </c>
      <c r="G12" s="2">
        <v>16</v>
      </c>
      <c r="H12" s="2">
        <v>1</v>
      </c>
      <c r="I12" s="2">
        <v>4</v>
      </c>
      <c r="J12" s="2" t="s">
        <v>169</v>
      </c>
      <c r="K12" s="2" t="s">
        <v>169</v>
      </c>
      <c r="L12">
        <f t="shared" si="0"/>
        <v>1</v>
      </c>
      <c r="M12" t="str">
        <f t="shared" si="1"/>
        <v>High</v>
      </c>
      <c r="N12" t="str">
        <f t="shared" si="2"/>
        <v>High (15h+)</v>
      </c>
      <c r="Q12" s="2"/>
    </row>
    <row r="13" spans="1:18">
      <c r="A13" s="2">
        <v>1012</v>
      </c>
      <c r="B13" s="4" t="s">
        <v>353</v>
      </c>
      <c r="C13" s="2" t="s">
        <v>233</v>
      </c>
      <c r="D13" s="2" t="s">
        <v>49</v>
      </c>
      <c r="E13" s="2" t="s">
        <v>62</v>
      </c>
      <c r="F13" s="2">
        <v>6119</v>
      </c>
      <c r="G13" s="2">
        <v>11</v>
      </c>
      <c r="H13" s="2">
        <v>3</v>
      </c>
      <c r="I13" s="2">
        <v>2</v>
      </c>
      <c r="J13" s="2" t="s">
        <v>169</v>
      </c>
      <c r="K13" s="2" t="s">
        <v>67</v>
      </c>
      <c r="L13">
        <f t="shared" si="0"/>
        <v>0</v>
      </c>
      <c r="M13" t="str">
        <f t="shared" si="1"/>
        <v>Mid</v>
      </c>
      <c r="N13" t="str">
        <f t="shared" si="2"/>
        <v>Medium (5-14h)</v>
      </c>
      <c r="Q13" s="2"/>
    </row>
    <row r="14" spans="1:18">
      <c r="A14" s="2">
        <v>1013</v>
      </c>
      <c r="B14" s="4" t="s">
        <v>465</v>
      </c>
      <c r="C14" s="2" t="s">
        <v>101</v>
      </c>
      <c r="D14" s="2" t="s">
        <v>29</v>
      </c>
      <c r="E14" s="2" t="s">
        <v>102</v>
      </c>
      <c r="F14" s="2">
        <v>11247</v>
      </c>
      <c r="G14" s="2">
        <v>2</v>
      </c>
      <c r="H14" s="2">
        <v>3</v>
      </c>
      <c r="I14" s="2">
        <v>3</v>
      </c>
      <c r="J14" s="2" t="s">
        <v>169</v>
      </c>
      <c r="K14" s="2" t="s">
        <v>67</v>
      </c>
      <c r="L14">
        <f t="shared" si="0"/>
        <v>0</v>
      </c>
      <c r="M14" t="str">
        <f t="shared" si="1"/>
        <v>High</v>
      </c>
      <c r="N14" t="str">
        <f t="shared" si="2"/>
        <v>Low (&lt;5h)</v>
      </c>
      <c r="Q14" s="2"/>
    </row>
    <row r="15" spans="1:18">
      <c r="A15" s="2">
        <v>1014</v>
      </c>
      <c r="B15" s="4" t="s">
        <v>466</v>
      </c>
      <c r="C15" s="2" t="s">
        <v>233</v>
      </c>
      <c r="D15" s="2" t="s">
        <v>49</v>
      </c>
      <c r="E15" s="2" t="s">
        <v>50</v>
      </c>
      <c r="F15" s="2">
        <v>5247</v>
      </c>
      <c r="G15" s="2">
        <v>11</v>
      </c>
      <c r="H15" s="2">
        <v>2</v>
      </c>
      <c r="I15" s="2">
        <v>4</v>
      </c>
      <c r="J15" s="2" t="s">
        <v>169</v>
      </c>
      <c r="K15" s="2" t="s">
        <v>169</v>
      </c>
      <c r="L15">
        <f t="shared" si="0"/>
        <v>1</v>
      </c>
      <c r="M15" t="str">
        <f t="shared" si="1"/>
        <v>Mid</v>
      </c>
      <c r="N15" t="str">
        <f t="shared" si="2"/>
        <v>Medium (5-14h)</v>
      </c>
      <c r="Q15" s="2"/>
    </row>
    <row r="16" spans="1:18">
      <c r="A16" s="2">
        <v>1015</v>
      </c>
      <c r="B16" s="4" t="s">
        <v>467</v>
      </c>
      <c r="C16" s="2" t="s">
        <v>24</v>
      </c>
      <c r="D16" s="2" t="s">
        <v>25</v>
      </c>
      <c r="E16" s="2" t="s">
        <v>38</v>
      </c>
      <c r="F16" s="2">
        <v>5445</v>
      </c>
      <c r="G16" s="2">
        <v>7</v>
      </c>
      <c r="H16" s="2">
        <v>4</v>
      </c>
      <c r="I16" s="2">
        <v>3</v>
      </c>
      <c r="J16" s="2" t="s">
        <v>67</v>
      </c>
      <c r="K16" s="2" t="s">
        <v>67</v>
      </c>
      <c r="L16">
        <f t="shared" si="0"/>
        <v>0</v>
      </c>
      <c r="M16" t="str">
        <f t="shared" si="1"/>
        <v>Mid</v>
      </c>
      <c r="N16" t="str">
        <f t="shared" si="2"/>
        <v>Medium (5-14h)</v>
      </c>
      <c r="Q16" s="2"/>
    </row>
    <row r="17" spans="1:17">
      <c r="A17" s="2">
        <v>1016</v>
      </c>
      <c r="B17" s="4" t="s">
        <v>412</v>
      </c>
      <c r="C17" s="2" t="s">
        <v>33</v>
      </c>
      <c r="D17" s="2" t="s">
        <v>29</v>
      </c>
      <c r="E17" s="2" t="s">
        <v>30</v>
      </c>
      <c r="F17" s="2">
        <v>6561</v>
      </c>
      <c r="G17" s="2">
        <v>11</v>
      </c>
      <c r="H17" s="2">
        <v>2</v>
      </c>
      <c r="I17" s="2">
        <v>3</v>
      </c>
      <c r="J17" s="2" t="s">
        <v>67</v>
      </c>
      <c r="K17" s="2" t="s">
        <v>169</v>
      </c>
      <c r="L17">
        <f t="shared" si="0"/>
        <v>1</v>
      </c>
      <c r="M17" t="str">
        <f t="shared" si="1"/>
        <v>Mid</v>
      </c>
      <c r="N17" t="str">
        <f t="shared" si="2"/>
        <v>Medium (5-14h)</v>
      </c>
      <c r="Q17" s="2"/>
    </row>
    <row r="18" spans="1:17">
      <c r="A18" s="2">
        <v>1017</v>
      </c>
      <c r="B18" s="4" t="s">
        <v>468</v>
      </c>
      <c r="C18" s="2" t="s">
        <v>12</v>
      </c>
      <c r="D18" s="2" t="s">
        <v>13</v>
      </c>
      <c r="E18" s="2" t="s">
        <v>155</v>
      </c>
      <c r="F18" s="2">
        <v>5381</v>
      </c>
      <c r="G18" s="2">
        <v>7</v>
      </c>
      <c r="H18" s="2">
        <v>3</v>
      </c>
      <c r="I18" s="2">
        <v>4</v>
      </c>
      <c r="J18" s="2" t="s">
        <v>169</v>
      </c>
      <c r="K18" s="2" t="s">
        <v>169</v>
      </c>
      <c r="L18">
        <f t="shared" si="0"/>
        <v>1</v>
      </c>
      <c r="M18" t="str">
        <f t="shared" si="1"/>
        <v>Mid</v>
      </c>
      <c r="N18" t="str">
        <f t="shared" si="2"/>
        <v>Medium (5-14h)</v>
      </c>
      <c r="Q18" s="2"/>
    </row>
    <row r="19" spans="1:17">
      <c r="A19" s="2">
        <v>1018</v>
      </c>
      <c r="B19" s="4" t="s">
        <v>469</v>
      </c>
      <c r="C19" s="2" t="s">
        <v>33</v>
      </c>
      <c r="D19" s="2" t="s">
        <v>19</v>
      </c>
      <c r="E19" s="2" t="s">
        <v>112</v>
      </c>
      <c r="F19" s="2">
        <v>13573</v>
      </c>
      <c r="G19" s="2">
        <v>8</v>
      </c>
      <c r="H19" s="2">
        <v>4</v>
      </c>
      <c r="I19" s="2">
        <v>3</v>
      </c>
      <c r="J19" s="2" t="s">
        <v>67</v>
      </c>
      <c r="K19" s="2" t="s">
        <v>67</v>
      </c>
      <c r="L19">
        <f t="shared" si="0"/>
        <v>0</v>
      </c>
      <c r="M19" t="str">
        <f t="shared" si="1"/>
        <v>High</v>
      </c>
      <c r="N19" t="str">
        <f t="shared" si="2"/>
        <v>Medium (5-14h)</v>
      </c>
      <c r="Q19" s="2"/>
    </row>
    <row r="20" spans="1:17">
      <c r="A20" s="2">
        <v>1019</v>
      </c>
      <c r="B20" s="4" t="s">
        <v>407</v>
      </c>
      <c r="C20" s="2" t="s">
        <v>33</v>
      </c>
      <c r="D20" s="2" t="s">
        <v>29</v>
      </c>
      <c r="E20" s="2" t="s">
        <v>30</v>
      </c>
      <c r="F20" s="2">
        <v>4194</v>
      </c>
      <c r="G20" s="2">
        <v>11</v>
      </c>
      <c r="H20" s="2">
        <v>2</v>
      </c>
      <c r="I20" s="2">
        <v>4</v>
      </c>
      <c r="J20" s="2" t="s">
        <v>169</v>
      </c>
      <c r="K20" s="2" t="s">
        <v>169</v>
      </c>
      <c r="L20">
        <f t="shared" si="0"/>
        <v>1</v>
      </c>
      <c r="M20" t="str">
        <f t="shared" si="1"/>
        <v>Low</v>
      </c>
      <c r="N20" t="str">
        <f t="shared" si="2"/>
        <v>Medium (5-14h)</v>
      </c>
      <c r="Q20" s="2"/>
    </row>
    <row r="21" spans="1:17">
      <c r="A21" s="2">
        <v>1020</v>
      </c>
      <c r="B21" s="4" t="s">
        <v>345</v>
      </c>
      <c r="C21" s="2" t="s">
        <v>24</v>
      </c>
      <c r="D21" s="2" t="s">
        <v>25</v>
      </c>
      <c r="E21" s="2" t="s">
        <v>148</v>
      </c>
      <c r="F21" s="2">
        <v>6162</v>
      </c>
      <c r="G21" s="2">
        <v>8</v>
      </c>
      <c r="H21" s="2">
        <v>2</v>
      </c>
      <c r="I21" s="2">
        <v>3</v>
      </c>
      <c r="J21" s="2" t="s">
        <v>67</v>
      </c>
      <c r="K21" s="2" t="s">
        <v>169</v>
      </c>
      <c r="L21">
        <f t="shared" si="0"/>
        <v>1</v>
      </c>
      <c r="M21" t="str">
        <f t="shared" si="1"/>
        <v>Mid</v>
      </c>
      <c r="N21" t="str">
        <f t="shared" si="2"/>
        <v>Medium (5-14h)</v>
      </c>
      <c r="Q21" s="2"/>
    </row>
    <row r="22" spans="1:17">
      <c r="A22" s="2">
        <v>1021</v>
      </c>
      <c r="B22" s="4" t="s">
        <v>470</v>
      </c>
      <c r="C22" s="2" t="s">
        <v>101</v>
      </c>
      <c r="D22" s="2" t="s">
        <v>29</v>
      </c>
      <c r="E22" s="2" t="s">
        <v>102</v>
      </c>
      <c r="F22" s="2">
        <v>10413</v>
      </c>
      <c r="G22" s="2">
        <v>0</v>
      </c>
      <c r="H22" s="2">
        <v>4</v>
      </c>
      <c r="I22" s="2">
        <v>2</v>
      </c>
      <c r="J22" s="2" t="s">
        <v>169</v>
      </c>
      <c r="K22" s="2" t="s">
        <v>67</v>
      </c>
      <c r="L22">
        <f t="shared" si="0"/>
        <v>0</v>
      </c>
      <c r="M22" t="str">
        <f t="shared" si="1"/>
        <v>High</v>
      </c>
      <c r="N22" t="str">
        <f t="shared" si="2"/>
        <v>Low (&lt;5h)</v>
      </c>
      <c r="Q22" s="2"/>
    </row>
    <row r="23" spans="1:17">
      <c r="A23" s="2">
        <v>1022</v>
      </c>
      <c r="B23" s="4" t="s">
        <v>298</v>
      </c>
      <c r="C23" s="2" t="s">
        <v>24</v>
      </c>
      <c r="D23" s="2" t="s">
        <v>25</v>
      </c>
      <c r="E23" s="2" t="s">
        <v>26</v>
      </c>
      <c r="F23" s="2">
        <v>10764</v>
      </c>
      <c r="G23" s="2">
        <v>10</v>
      </c>
      <c r="H23" s="2">
        <v>2</v>
      </c>
      <c r="I23" s="2">
        <v>4</v>
      </c>
      <c r="J23" s="2" t="s">
        <v>169</v>
      </c>
      <c r="K23" s="2" t="s">
        <v>67</v>
      </c>
      <c r="L23">
        <f t="shared" si="0"/>
        <v>0</v>
      </c>
      <c r="M23" t="str">
        <f t="shared" si="1"/>
        <v>High</v>
      </c>
      <c r="N23" t="str">
        <f t="shared" si="2"/>
        <v>Medium (5-14h)</v>
      </c>
      <c r="Q23" s="2"/>
    </row>
    <row r="24" spans="1:17">
      <c r="A24" s="2">
        <v>1023</v>
      </c>
      <c r="B24" s="4" t="s">
        <v>408</v>
      </c>
      <c r="C24" s="2" t="s">
        <v>12</v>
      </c>
      <c r="D24" s="2" t="s">
        <v>13</v>
      </c>
      <c r="E24" s="2" t="s">
        <v>44</v>
      </c>
      <c r="F24" s="2">
        <v>3590</v>
      </c>
      <c r="G24" s="2">
        <v>7</v>
      </c>
      <c r="H24" s="2">
        <v>3</v>
      </c>
      <c r="I24" s="2">
        <v>2</v>
      </c>
      <c r="J24" s="2" t="s">
        <v>67</v>
      </c>
      <c r="K24" s="2" t="s">
        <v>67</v>
      </c>
      <c r="L24">
        <f t="shared" si="0"/>
        <v>0</v>
      </c>
      <c r="M24" t="str">
        <f t="shared" si="1"/>
        <v>Low</v>
      </c>
      <c r="N24" t="str">
        <f t="shared" si="2"/>
        <v>Medium (5-14h)</v>
      </c>
      <c r="Q24" s="2"/>
    </row>
    <row r="25" spans="1:17">
      <c r="A25" s="2">
        <v>1024</v>
      </c>
      <c r="B25" s="4" t="s">
        <v>471</v>
      </c>
      <c r="C25" s="2" t="s">
        <v>33</v>
      </c>
      <c r="D25" s="2" t="s">
        <v>19</v>
      </c>
      <c r="E25" s="2" t="s">
        <v>112</v>
      </c>
      <c r="F25" s="2">
        <v>5597</v>
      </c>
      <c r="G25" s="2">
        <v>9</v>
      </c>
      <c r="H25" s="2">
        <v>3</v>
      </c>
      <c r="I25" s="2">
        <v>3</v>
      </c>
      <c r="J25" s="2" t="s">
        <v>169</v>
      </c>
      <c r="K25" s="2" t="s">
        <v>67</v>
      </c>
      <c r="L25">
        <f t="shared" si="0"/>
        <v>0</v>
      </c>
      <c r="M25" t="str">
        <f t="shared" si="1"/>
        <v>Mid</v>
      </c>
      <c r="N25" t="str">
        <f t="shared" si="2"/>
        <v>Medium (5-14h)</v>
      </c>
      <c r="Q25" s="2"/>
    </row>
    <row r="26" spans="1:17">
      <c r="A26" s="2">
        <v>1025</v>
      </c>
      <c r="B26" s="4" t="s">
        <v>472</v>
      </c>
      <c r="C26" s="2" t="s">
        <v>83</v>
      </c>
      <c r="D26" s="2" t="s">
        <v>56</v>
      </c>
      <c r="E26" s="2" t="s">
        <v>57</v>
      </c>
      <c r="F26" s="2">
        <v>6717</v>
      </c>
      <c r="G26" s="2">
        <v>0</v>
      </c>
      <c r="H26" s="2">
        <v>2</v>
      </c>
      <c r="I26" s="2">
        <v>4</v>
      </c>
      <c r="J26" s="2" t="s">
        <v>169</v>
      </c>
      <c r="K26" s="2" t="s">
        <v>169</v>
      </c>
      <c r="L26">
        <f t="shared" si="0"/>
        <v>1</v>
      </c>
      <c r="M26" t="str">
        <f t="shared" si="1"/>
        <v>Mid</v>
      </c>
      <c r="N26" t="str">
        <f t="shared" si="2"/>
        <v>Low (&lt;5h)</v>
      </c>
      <c r="Q26" s="2"/>
    </row>
    <row r="27" spans="1:17">
      <c r="A27" s="2">
        <v>1026</v>
      </c>
      <c r="B27" s="4" t="s">
        <v>173</v>
      </c>
      <c r="C27" s="2" t="s">
        <v>83</v>
      </c>
      <c r="D27" s="2" t="s">
        <v>56</v>
      </c>
      <c r="E27" s="2" t="s">
        <v>85</v>
      </c>
      <c r="F27" s="2">
        <v>3328</v>
      </c>
      <c r="G27" s="2">
        <v>16</v>
      </c>
      <c r="H27" s="2">
        <v>1</v>
      </c>
      <c r="I27" s="2">
        <v>4</v>
      </c>
      <c r="J27" s="2" t="s">
        <v>67</v>
      </c>
      <c r="K27" s="2" t="s">
        <v>67</v>
      </c>
      <c r="L27">
        <f t="shared" si="0"/>
        <v>0</v>
      </c>
      <c r="M27" t="str">
        <f t="shared" si="1"/>
        <v>Low</v>
      </c>
      <c r="N27" t="str">
        <f t="shared" si="2"/>
        <v>High (15h+)</v>
      </c>
      <c r="Q27" s="2"/>
    </row>
    <row r="28" spans="1:17">
      <c r="A28" s="2">
        <v>1027</v>
      </c>
      <c r="B28" s="4" t="s">
        <v>473</v>
      </c>
      <c r="C28" s="2" t="s">
        <v>83</v>
      </c>
      <c r="D28" s="2" t="s">
        <v>56</v>
      </c>
      <c r="E28" s="2" t="s">
        <v>59</v>
      </c>
      <c r="F28" s="2">
        <v>7777</v>
      </c>
      <c r="G28" s="2">
        <v>16</v>
      </c>
      <c r="H28" s="2">
        <v>1</v>
      </c>
      <c r="I28" s="2">
        <v>4</v>
      </c>
      <c r="J28" s="2" t="s">
        <v>169</v>
      </c>
      <c r="K28" s="2" t="s">
        <v>169</v>
      </c>
      <c r="L28">
        <f t="shared" si="0"/>
        <v>1</v>
      </c>
      <c r="M28" t="str">
        <f t="shared" si="1"/>
        <v>Mid</v>
      </c>
      <c r="N28" t="str">
        <f t="shared" si="2"/>
        <v>High (15h+)</v>
      </c>
      <c r="Q28" s="2"/>
    </row>
    <row r="29" spans="1:17">
      <c r="A29" s="2">
        <v>1028</v>
      </c>
      <c r="B29" s="4" t="s">
        <v>474</v>
      </c>
      <c r="C29" s="2" t="s">
        <v>12</v>
      </c>
      <c r="D29" s="2" t="s">
        <v>13</v>
      </c>
      <c r="E29" s="2" t="s">
        <v>14</v>
      </c>
      <c r="F29" s="2">
        <v>13403</v>
      </c>
      <c r="G29" s="2">
        <v>6</v>
      </c>
      <c r="H29" s="2">
        <v>3</v>
      </c>
      <c r="I29" s="2">
        <v>4</v>
      </c>
      <c r="J29" s="2" t="s">
        <v>169</v>
      </c>
      <c r="K29" s="2" t="s">
        <v>67</v>
      </c>
      <c r="L29">
        <f t="shared" si="0"/>
        <v>0</v>
      </c>
      <c r="M29" t="str">
        <f t="shared" si="1"/>
        <v>High</v>
      </c>
      <c r="N29" t="str">
        <f t="shared" si="2"/>
        <v>Medium (5-14h)</v>
      </c>
      <c r="Q29" s="2"/>
    </row>
    <row r="30" spans="1:17">
      <c r="A30" s="2">
        <v>1029</v>
      </c>
      <c r="B30" s="4" t="s">
        <v>475</v>
      </c>
      <c r="C30" s="2" t="s">
        <v>33</v>
      </c>
      <c r="D30" s="2" t="s">
        <v>25</v>
      </c>
      <c r="E30" s="2" t="s">
        <v>38</v>
      </c>
      <c r="F30" s="2">
        <v>10747</v>
      </c>
      <c r="G30" s="2">
        <v>0</v>
      </c>
      <c r="H30" s="2">
        <v>4</v>
      </c>
      <c r="I30" s="2">
        <v>3</v>
      </c>
      <c r="J30" s="2" t="s">
        <v>169</v>
      </c>
      <c r="K30" s="2" t="s">
        <v>67</v>
      </c>
      <c r="L30">
        <f t="shared" si="0"/>
        <v>0</v>
      </c>
      <c r="M30" t="str">
        <f t="shared" si="1"/>
        <v>High</v>
      </c>
      <c r="N30" t="str">
        <f t="shared" si="2"/>
        <v>Low (&lt;5h)</v>
      </c>
      <c r="Q30" s="2"/>
    </row>
    <row r="31" spans="1:17">
      <c r="A31" s="2">
        <v>1030</v>
      </c>
      <c r="B31" s="4" t="s">
        <v>476</v>
      </c>
      <c r="C31" s="2" t="s">
        <v>233</v>
      </c>
      <c r="D31" s="2" t="s">
        <v>49</v>
      </c>
      <c r="E31" s="2" t="s">
        <v>62</v>
      </c>
      <c r="F31" s="2">
        <v>9003</v>
      </c>
      <c r="G31" s="2">
        <v>12</v>
      </c>
      <c r="H31" s="2">
        <v>3</v>
      </c>
      <c r="I31" s="2">
        <v>3</v>
      </c>
      <c r="J31" s="2" t="s">
        <v>67</v>
      </c>
      <c r="K31" s="2" t="s">
        <v>67</v>
      </c>
      <c r="L31">
        <f t="shared" si="0"/>
        <v>0</v>
      </c>
      <c r="M31" t="str">
        <f t="shared" si="1"/>
        <v>High</v>
      </c>
      <c r="N31" t="str">
        <f t="shared" si="2"/>
        <v>Medium (5-14h)</v>
      </c>
      <c r="Q31" s="2"/>
    </row>
    <row r="32" spans="1:17">
      <c r="A32" s="2">
        <v>1031</v>
      </c>
      <c r="B32" s="4" t="s">
        <v>477</v>
      </c>
      <c r="C32" s="2" t="s">
        <v>12</v>
      </c>
      <c r="D32" s="2" t="s">
        <v>13</v>
      </c>
      <c r="E32" s="2" t="s">
        <v>155</v>
      </c>
      <c r="F32" s="2">
        <v>13046</v>
      </c>
      <c r="G32" s="2">
        <v>8</v>
      </c>
      <c r="H32" s="2">
        <v>1</v>
      </c>
      <c r="I32" s="2">
        <v>4</v>
      </c>
      <c r="J32" s="2" t="s">
        <v>169</v>
      </c>
      <c r="K32" s="2" t="s">
        <v>67</v>
      </c>
      <c r="L32">
        <f t="shared" si="0"/>
        <v>0</v>
      </c>
      <c r="M32" t="str">
        <f t="shared" si="1"/>
        <v>High</v>
      </c>
      <c r="N32" t="str">
        <f t="shared" si="2"/>
        <v>Medium (5-14h)</v>
      </c>
      <c r="Q32" s="2"/>
    </row>
    <row r="33" spans="1:17">
      <c r="A33" s="2">
        <v>1032</v>
      </c>
      <c r="B33" s="4" t="s">
        <v>478</v>
      </c>
      <c r="C33" s="2" t="s">
        <v>33</v>
      </c>
      <c r="D33" s="2" t="s">
        <v>13</v>
      </c>
      <c r="E33" s="2" t="s">
        <v>44</v>
      </c>
      <c r="F33" s="2">
        <v>9844</v>
      </c>
      <c r="G33" s="2">
        <v>6</v>
      </c>
      <c r="H33" s="2">
        <v>4</v>
      </c>
      <c r="I33" s="2">
        <v>3</v>
      </c>
      <c r="J33" s="2" t="s">
        <v>169</v>
      </c>
      <c r="K33" s="2" t="s">
        <v>67</v>
      </c>
      <c r="L33">
        <f t="shared" si="0"/>
        <v>0</v>
      </c>
      <c r="M33" t="str">
        <f t="shared" si="1"/>
        <v>High</v>
      </c>
      <c r="N33" t="str">
        <f t="shared" si="2"/>
        <v>Medium (5-14h)</v>
      </c>
      <c r="Q33" s="2"/>
    </row>
    <row r="34" spans="1:17">
      <c r="A34" s="2">
        <v>1033</v>
      </c>
      <c r="B34" s="4" t="s">
        <v>479</v>
      </c>
      <c r="C34" s="2" t="s">
        <v>33</v>
      </c>
      <c r="D34" s="2" t="s">
        <v>19</v>
      </c>
      <c r="E34" s="2" t="s">
        <v>34</v>
      </c>
      <c r="F34" s="2">
        <v>8137</v>
      </c>
      <c r="G34" s="2">
        <v>11</v>
      </c>
      <c r="H34" s="2">
        <v>1</v>
      </c>
      <c r="I34" s="2">
        <v>3</v>
      </c>
      <c r="J34" s="2" t="s">
        <v>169</v>
      </c>
      <c r="K34" s="2" t="s">
        <v>169</v>
      </c>
      <c r="L34">
        <f t="shared" si="0"/>
        <v>1</v>
      </c>
      <c r="M34" t="str">
        <f t="shared" si="1"/>
        <v>Mid</v>
      </c>
      <c r="N34" t="str">
        <f t="shared" si="2"/>
        <v>Medium (5-14h)</v>
      </c>
      <c r="Q34" s="2"/>
    </row>
    <row r="35" spans="1:17">
      <c r="A35" s="2">
        <v>1034</v>
      </c>
      <c r="B35" s="4" t="s">
        <v>480</v>
      </c>
      <c r="C35" s="2" t="s">
        <v>24</v>
      </c>
      <c r="D35" s="2" t="s">
        <v>25</v>
      </c>
      <c r="E35" s="2" t="s">
        <v>38</v>
      </c>
      <c r="F35" s="2">
        <v>5312</v>
      </c>
      <c r="G35" s="2">
        <v>13</v>
      </c>
      <c r="H35" s="2">
        <v>1</v>
      </c>
      <c r="I35" s="2">
        <v>2</v>
      </c>
      <c r="J35" s="2" t="s">
        <v>67</v>
      </c>
      <c r="K35" s="2" t="s">
        <v>67</v>
      </c>
      <c r="L35">
        <f t="shared" si="0"/>
        <v>0</v>
      </c>
      <c r="M35" t="str">
        <f t="shared" si="1"/>
        <v>Mid</v>
      </c>
      <c r="N35" t="str">
        <f t="shared" si="2"/>
        <v>Medium (5-14h)</v>
      </c>
      <c r="Q35" s="2"/>
    </row>
    <row r="36" spans="1:17">
      <c r="A36" s="2">
        <v>1035</v>
      </c>
      <c r="B36" s="4" t="s">
        <v>481</v>
      </c>
      <c r="C36" s="2" t="s">
        <v>83</v>
      </c>
      <c r="D36" s="2" t="s">
        <v>56</v>
      </c>
      <c r="E36" s="2" t="s">
        <v>57</v>
      </c>
      <c r="F36" s="2">
        <v>11199</v>
      </c>
      <c r="G36" s="2">
        <v>12</v>
      </c>
      <c r="H36" s="2">
        <v>1</v>
      </c>
      <c r="I36" s="2">
        <v>4</v>
      </c>
      <c r="J36" s="2" t="s">
        <v>67</v>
      </c>
      <c r="K36" s="2" t="s">
        <v>169</v>
      </c>
      <c r="L36">
        <f t="shared" si="0"/>
        <v>1</v>
      </c>
      <c r="M36" t="str">
        <f t="shared" si="1"/>
        <v>High</v>
      </c>
      <c r="N36" t="str">
        <f t="shared" si="2"/>
        <v>Medium (5-14h)</v>
      </c>
      <c r="Q36" s="2"/>
    </row>
    <row r="37" spans="1:17">
      <c r="A37" s="2">
        <v>1036</v>
      </c>
      <c r="B37" s="4" t="s">
        <v>482</v>
      </c>
      <c r="C37" s="2" t="s">
        <v>83</v>
      </c>
      <c r="D37" s="2" t="s">
        <v>56</v>
      </c>
      <c r="E37" s="2" t="s">
        <v>57</v>
      </c>
      <c r="F37" s="2">
        <v>4461</v>
      </c>
      <c r="G37" s="2">
        <v>3</v>
      </c>
      <c r="H37" s="2">
        <v>4</v>
      </c>
      <c r="I37" s="2">
        <v>2</v>
      </c>
      <c r="J37" s="2" t="s">
        <v>67</v>
      </c>
      <c r="K37" s="2" t="s">
        <v>67</v>
      </c>
      <c r="L37">
        <f t="shared" si="0"/>
        <v>0</v>
      </c>
      <c r="M37" t="str">
        <f t="shared" si="1"/>
        <v>Low</v>
      </c>
      <c r="N37" t="str">
        <f t="shared" si="2"/>
        <v>Low (&lt;5h)</v>
      </c>
      <c r="Q37" s="2"/>
    </row>
    <row r="38" spans="1:17">
      <c r="A38" s="2">
        <v>1037</v>
      </c>
      <c r="B38" s="4" t="s">
        <v>479</v>
      </c>
      <c r="C38" s="2" t="s">
        <v>12</v>
      </c>
      <c r="D38" s="2" t="s">
        <v>13</v>
      </c>
      <c r="E38" s="2" t="s">
        <v>155</v>
      </c>
      <c r="F38" s="2">
        <v>4282</v>
      </c>
      <c r="G38" s="2">
        <v>0</v>
      </c>
      <c r="H38" s="2">
        <v>3</v>
      </c>
      <c r="I38" s="2">
        <v>2</v>
      </c>
      <c r="J38" s="2" t="s">
        <v>169</v>
      </c>
      <c r="K38" s="2" t="s">
        <v>67</v>
      </c>
      <c r="L38">
        <f t="shared" si="0"/>
        <v>0</v>
      </c>
      <c r="M38" t="str">
        <f t="shared" si="1"/>
        <v>Low</v>
      </c>
      <c r="N38" t="str">
        <f t="shared" si="2"/>
        <v>Low (&lt;5h)</v>
      </c>
      <c r="Q38" s="2"/>
    </row>
    <row r="39" spans="1:17">
      <c r="A39" s="2">
        <v>1038</v>
      </c>
      <c r="B39" s="4" t="s">
        <v>483</v>
      </c>
      <c r="C39" s="2" t="s">
        <v>83</v>
      </c>
      <c r="D39" s="2" t="s">
        <v>56</v>
      </c>
      <c r="E39" s="2" t="s">
        <v>59</v>
      </c>
      <c r="F39" s="2">
        <v>13226</v>
      </c>
      <c r="G39" s="2">
        <v>14</v>
      </c>
      <c r="H39" s="2">
        <v>2</v>
      </c>
      <c r="I39" s="2">
        <v>3</v>
      </c>
      <c r="J39" s="2" t="s">
        <v>67</v>
      </c>
      <c r="K39" s="2" t="s">
        <v>67</v>
      </c>
      <c r="L39">
        <f t="shared" si="0"/>
        <v>0</v>
      </c>
      <c r="M39" t="str">
        <f t="shared" si="1"/>
        <v>High</v>
      </c>
      <c r="N39" t="str">
        <f t="shared" si="2"/>
        <v>Medium (5-14h)</v>
      </c>
      <c r="Q39" s="2"/>
    </row>
    <row r="40" spans="1:17">
      <c r="A40" s="2">
        <v>1039</v>
      </c>
      <c r="B40" s="4" t="s">
        <v>356</v>
      </c>
      <c r="C40" s="2" t="s">
        <v>233</v>
      </c>
      <c r="D40" s="2" t="s">
        <v>49</v>
      </c>
      <c r="E40" s="2" t="s">
        <v>78</v>
      </c>
      <c r="F40" s="2">
        <v>9187</v>
      </c>
      <c r="G40" s="2">
        <v>1</v>
      </c>
      <c r="H40" s="2">
        <v>3</v>
      </c>
      <c r="I40" s="2">
        <v>4</v>
      </c>
      <c r="J40" s="2" t="s">
        <v>169</v>
      </c>
      <c r="K40" s="2" t="s">
        <v>67</v>
      </c>
      <c r="L40">
        <f t="shared" si="0"/>
        <v>0</v>
      </c>
      <c r="M40" t="str">
        <f t="shared" si="1"/>
        <v>High</v>
      </c>
      <c r="N40" t="str">
        <f t="shared" si="2"/>
        <v>Low (&lt;5h)</v>
      </c>
      <c r="Q40" s="2"/>
    </row>
    <row r="41" spans="1:17">
      <c r="A41" s="2">
        <v>1040</v>
      </c>
      <c r="B41" s="4" t="s">
        <v>89</v>
      </c>
      <c r="C41" s="2" t="s">
        <v>101</v>
      </c>
      <c r="D41" s="2" t="s">
        <v>29</v>
      </c>
      <c r="E41" s="2" t="s">
        <v>30</v>
      </c>
      <c r="F41" s="2">
        <v>3466</v>
      </c>
      <c r="G41" s="2">
        <v>3</v>
      </c>
      <c r="H41" s="2">
        <v>3</v>
      </c>
      <c r="I41" s="2">
        <v>4</v>
      </c>
      <c r="J41" s="2" t="s">
        <v>169</v>
      </c>
      <c r="K41" s="2" t="s">
        <v>67</v>
      </c>
      <c r="L41">
        <f t="shared" si="0"/>
        <v>0</v>
      </c>
      <c r="M41" t="str">
        <f t="shared" si="1"/>
        <v>Low</v>
      </c>
      <c r="N41" t="str">
        <f t="shared" si="2"/>
        <v>Low (&lt;5h)</v>
      </c>
      <c r="Q41" s="2"/>
    </row>
    <row r="42" spans="1:17">
      <c r="A42" s="2">
        <v>1041</v>
      </c>
      <c r="B42" s="4" t="s">
        <v>484</v>
      </c>
      <c r="C42" s="2" t="s">
        <v>233</v>
      </c>
      <c r="D42" s="2" t="s">
        <v>49</v>
      </c>
      <c r="E42" s="2" t="s">
        <v>78</v>
      </c>
      <c r="F42" s="2">
        <v>8105</v>
      </c>
      <c r="G42" s="2">
        <v>11</v>
      </c>
      <c r="H42" s="2">
        <v>3</v>
      </c>
      <c r="I42" s="2">
        <v>4</v>
      </c>
      <c r="J42" s="2" t="s">
        <v>169</v>
      </c>
      <c r="K42" s="2" t="s">
        <v>169</v>
      </c>
      <c r="L42">
        <f t="shared" si="0"/>
        <v>1</v>
      </c>
      <c r="M42" t="str">
        <f t="shared" si="1"/>
        <v>Mid</v>
      </c>
      <c r="N42" t="str">
        <f t="shared" si="2"/>
        <v>Medium (5-14h)</v>
      </c>
      <c r="Q42" s="2"/>
    </row>
    <row r="43" spans="1:17">
      <c r="A43" s="2">
        <v>1042</v>
      </c>
      <c r="B43" s="4" t="s">
        <v>485</v>
      </c>
      <c r="C43" s="2" t="s">
        <v>33</v>
      </c>
      <c r="D43" s="2" t="s">
        <v>19</v>
      </c>
      <c r="E43" s="2" t="s">
        <v>34</v>
      </c>
      <c r="F43" s="2">
        <v>9259</v>
      </c>
      <c r="G43" s="2">
        <v>5</v>
      </c>
      <c r="H43" s="2">
        <v>4</v>
      </c>
      <c r="I43" s="2">
        <v>4</v>
      </c>
      <c r="J43" s="2" t="s">
        <v>169</v>
      </c>
      <c r="K43" s="2" t="s">
        <v>67</v>
      </c>
      <c r="L43">
        <f t="shared" si="0"/>
        <v>0</v>
      </c>
      <c r="M43" t="str">
        <f t="shared" si="1"/>
        <v>High</v>
      </c>
      <c r="N43" t="str">
        <f t="shared" si="2"/>
        <v>Medium (5-14h)</v>
      </c>
      <c r="Q43" s="2"/>
    </row>
    <row r="44" spans="1:17">
      <c r="A44" s="2">
        <v>1043</v>
      </c>
      <c r="B44" s="4" t="s">
        <v>486</v>
      </c>
      <c r="C44" s="2" t="s">
        <v>33</v>
      </c>
      <c r="D44" s="2" t="s">
        <v>19</v>
      </c>
      <c r="E44" s="2" t="s">
        <v>20</v>
      </c>
      <c r="F44" s="2">
        <v>3582</v>
      </c>
      <c r="G44" s="2">
        <v>10</v>
      </c>
      <c r="H44" s="2">
        <v>2</v>
      </c>
      <c r="I44" s="2">
        <v>2</v>
      </c>
      <c r="J44" s="2" t="s">
        <v>169</v>
      </c>
      <c r="K44" s="2" t="s">
        <v>67</v>
      </c>
      <c r="L44">
        <f t="shared" si="0"/>
        <v>0</v>
      </c>
      <c r="M44" t="str">
        <f t="shared" si="1"/>
        <v>Low</v>
      </c>
      <c r="N44" t="str">
        <f t="shared" si="2"/>
        <v>Medium (5-14h)</v>
      </c>
      <c r="Q44" s="2"/>
    </row>
    <row r="45" spans="1:17">
      <c r="A45" s="2">
        <v>1044</v>
      </c>
      <c r="B45" s="4" t="s">
        <v>487</v>
      </c>
      <c r="C45" s="2" t="s">
        <v>233</v>
      </c>
      <c r="D45" s="2" t="s">
        <v>49</v>
      </c>
      <c r="E45" s="2" t="s">
        <v>50</v>
      </c>
      <c r="F45" s="2">
        <v>7129</v>
      </c>
      <c r="G45" s="2">
        <v>11</v>
      </c>
      <c r="H45" s="2">
        <v>3</v>
      </c>
      <c r="I45" s="2">
        <v>4</v>
      </c>
      <c r="J45" s="2" t="s">
        <v>169</v>
      </c>
      <c r="K45" s="2" t="s">
        <v>67</v>
      </c>
      <c r="L45">
        <f t="shared" si="0"/>
        <v>0</v>
      </c>
      <c r="M45" t="str">
        <f t="shared" si="1"/>
        <v>Mid</v>
      </c>
      <c r="N45" t="str">
        <f t="shared" si="2"/>
        <v>Medium (5-14h)</v>
      </c>
      <c r="Q45" s="2"/>
    </row>
    <row r="46" spans="1:17">
      <c r="A46" s="2">
        <v>1045</v>
      </c>
      <c r="B46" s="4" t="s">
        <v>420</v>
      </c>
      <c r="C46" s="2" t="s">
        <v>12</v>
      </c>
      <c r="D46" s="2" t="s">
        <v>13</v>
      </c>
      <c r="E46" s="2" t="s">
        <v>14</v>
      </c>
      <c r="F46" s="2">
        <v>5661</v>
      </c>
      <c r="G46" s="2">
        <v>5</v>
      </c>
      <c r="H46" s="2">
        <v>3</v>
      </c>
      <c r="I46" s="2">
        <v>3</v>
      </c>
      <c r="J46" s="2" t="s">
        <v>67</v>
      </c>
      <c r="K46" s="2" t="s">
        <v>67</v>
      </c>
      <c r="L46">
        <f t="shared" si="0"/>
        <v>0</v>
      </c>
      <c r="M46" t="str">
        <f t="shared" si="1"/>
        <v>Mid</v>
      </c>
      <c r="N46" t="str">
        <f t="shared" si="2"/>
        <v>Medium (5-14h)</v>
      </c>
      <c r="Q46" s="2"/>
    </row>
    <row r="47" spans="1:17">
      <c r="A47" s="2">
        <v>1046</v>
      </c>
      <c r="B47" s="4" t="s">
        <v>488</v>
      </c>
      <c r="C47" s="2" t="s">
        <v>33</v>
      </c>
      <c r="D47" s="2" t="s">
        <v>19</v>
      </c>
      <c r="E47" s="2" t="s">
        <v>20</v>
      </c>
      <c r="F47" s="2">
        <v>7643</v>
      </c>
      <c r="G47" s="2">
        <v>7</v>
      </c>
      <c r="H47" s="2">
        <v>3</v>
      </c>
      <c r="I47" s="2">
        <v>2</v>
      </c>
      <c r="J47" s="2" t="s">
        <v>67</v>
      </c>
      <c r="K47" s="2" t="s">
        <v>67</v>
      </c>
      <c r="L47">
        <f t="shared" si="0"/>
        <v>0</v>
      </c>
      <c r="M47" t="str">
        <f t="shared" si="1"/>
        <v>Mid</v>
      </c>
      <c r="N47" t="str">
        <f t="shared" si="2"/>
        <v>Medium (5-14h)</v>
      </c>
      <c r="Q47" s="2"/>
    </row>
    <row r="48" spans="1:17">
      <c r="A48" s="2">
        <v>1047</v>
      </c>
      <c r="B48" s="4" t="s">
        <v>489</v>
      </c>
      <c r="C48" s="2" t="s">
        <v>101</v>
      </c>
      <c r="D48" s="2" t="s">
        <v>29</v>
      </c>
      <c r="E48" s="2" t="s">
        <v>30</v>
      </c>
      <c r="F48" s="2">
        <v>12144</v>
      </c>
      <c r="G48" s="2">
        <v>15</v>
      </c>
      <c r="H48" s="2">
        <v>1</v>
      </c>
      <c r="I48" s="2">
        <v>3</v>
      </c>
      <c r="J48" s="2" t="s">
        <v>67</v>
      </c>
      <c r="K48" s="2" t="s">
        <v>169</v>
      </c>
      <c r="L48">
        <f t="shared" si="0"/>
        <v>1</v>
      </c>
      <c r="M48" t="str">
        <f t="shared" si="1"/>
        <v>High</v>
      </c>
      <c r="N48" t="str">
        <f t="shared" si="2"/>
        <v>High (15h+)</v>
      </c>
      <c r="Q48" s="2"/>
    </row>
    <row r="49" spans="1:17">
      <c r="A49" s="2">
        <v>1048</v>
      </c>
      <c r="B49" s="4" t="s">
        <v>490</v>
      </c>
      <c r="C49" s="2" t="s">
        <v>101</v>
      </c>
      <c r="D49" s="2" t="s">
        <v>29</v>
      </c>
      <c r="E49" s="2" t="s">
        <v>102</v>
      </c>
      <c r="F49" s="2">
        <v>4554</v>
      </c>
      <c r="G49" s="2">
        <v>0</v>
      </c>
      <c r="H49" s="2">
        <v>2</v>
      </c>
      <c r="I49" s="2">
        <v>2</v>
      </c>
      <c r="J49" s="2" t="s">
        <v>169</v>
      </c>
      <c r="K49" s="2" t="s">
        <v>67</v>
      </c>
      <c r="L49">
        <f t="shared" si="0"/>
        <v>0</v>
      </c>
      <c r="M49" t="str">
        <f t="shared" si="1"/>
        <v>Mid</v>
      </c>
      <c r="N49" t="str">
        <f t="shared" si="2"/>
        <v>Low (&lt;5h)</v>
      </c>
      <c r="Q49" s="2"/>
    </row>
    <row r="50" spans="1:17">
      <c r="A50" s="2">
        <v>1049</v>
      </c>
      <c r="B50" s="4" t="s">
        <v>113</v>
      </c>
      <c r="C50" s="2" t="s">
        <v>33</v>
      </c>
      <c r="D50" s="2" t="s">
        <v>56</v>
      </c>
      <c r="E50" s="2" t="s">
        <v>57</v>
      </c>
      <c r="F50" s="2">
        <v>3311</v>
      </c>
      <c r="G50" s="2">
        <v>0</v>
      </c>
      <c r="H50" s="2">
        <v>3</v>
      </c>
      <c r="I50" s="2">
        <v>3</v>
      </c>
      <c r="J50" s="2" t="s">
        <v>67</v>
      </c>
      <c r="K50" s="2" t="s">
        <v>169</v>
      </c>
      <c r="L50">
        <f t="shared" si="0"/>
        <v>1</v>
      </c>
      <c r="M50" t="str">
        <f t="shared" si="1"/>
        <v>Low</v>
      </c>
      <c r="N50" t="str">
        <f t="shared" si="2"/>
        <v>Low (&lt;5h)</v>
      </c>
      <c r="Q50" s="2"/>
    </row>
    <row r="51" spans="1:17">
      <c r="A51" s="2">
        <v>1050</v>
      </c>
      <c r="B51" s="4" t="s">
        <v>491</v>
      </c>
      <c r="C51" s="2" t="s">
        <v>33</v>
      </c>
      <c r="D51" s="2" t="s">
        <v>49</v>
      </c>
      <c r="E51" s="2" t="s">
        <v>62</v>
      </c>
      <c r="F51" s="2">
        <v>7069</v>
      </c>
      <c r="G51" s="2">
        <v>12</v>
      </c>
      <c r="H51" s="2">
        <v>2</v>
      </c>
      <c r="I51" s="2">
        <v>4</v>
      </c>
      <c r="J51" s="2" t="s">
        <v>169</v>
      </c>
      <c r="K51" s="2" t="s">
        <v>67</v>
      </c>
      <c r="L51">
        <f t="shared" si="0"/>
        <v>0</v>
      </c>
      <c r="M51" t="str">
        <f t="shared" si="1"/>
        <v>Mid</v>
      </c>
      <c r="N51" t="str">
        <f t="shared" si="2"/>
        <v>Medium (5-14h)</v>
      </c>
      <c r="Q51" s="2"/>
    </row>
    <row r="52" spans="1:17">
      <c r="A52" s="2">
        <v>1051</v>
      </c>
      <c r="B52" s="4" t="s">
        <v>492</v>
      </c>
      <c r="C52" s="2" t="s">
        <v>233</v>
      </c>
      <c r="D52" s="2" t="s">
        <v>49</v>
      </c>
      <c r="E52" s="2" t="s">
        <v>50</v>
      </c>
      <c r="F52" s="2">
        <v>11728</v>
      </c>
      <c r="G52" s="2">
        <v>2</v>
      </c>
      <c r="H52" s="2">
        <v>4</v>
      </c>
      <c r="I52" s="2">
        <v>4</v>
      </c>
      <c r="J52" s="2" t="s">
        <v>169</v>
      </c>
      <c r="K52" s="2" t="s">
        <v>67</v>
      </c>
      <c r="L52">
        <f t="shared" si="0"/>
        <v>0</v>
      </c>
      <c r="M52" t="str">
        <f t="shared" si="1"/>
        <v>High</v>
      </c>
      <c r="N52" t="str">
        <f t="shared" si="2"/>
        <v>Low (&lt;5h)</v>
      </c>
      <c r="Q52" s="2"/>
    </row>
    <row r="53" spans="1:17">
      <c r="A53" s="2">
        <v>1052</v>
      </c>
      <c r="B53" s="4" t="s">
        <v>119</v>
      </c>
      <c r="C53" s="2" t="s">
        <v>101</v>
      </c>
      <c r="D53" s="2" t="s">
        <v>29</v>
      </c>
      <c r="E53" s="2" t="s">
        <v>30</v>
      </c>
      <c r="F53" s="2">
        <v>5355</v>
      </c>
      <c r="G53" s="2">
        <v>7</v>
      </c>
      <c r="H53" s="2">
        <v>4</v>
      </c>
      <c r="I53" s="2">
        <v>3</v>
      </c>
      <c r="J53" s="2" t="s">
        <v>67</v>
      </c>
      <c r="K53" s="2" t="s">
        <v>67</v>
      </c>
      <c r="L53">
        <f t="shared" si="0"/>
        <v>0</v>
      </c>
      <c r="M53" t="str">
        <f t="shared" si="1"/>
        <v>Mid</v>
      </c>
      <c r="N53" t="str">
        <f t="shared" si="2"/>
        <v>Medium (5-14h)</v>
      </c>
      <c r="Q53" s="2"/>
    </row>
    <row r="54" spans="1:17">
      <c r="A54" s="2">
        <v>1053</v>
      </c>
      <c r="B54" s="4" t="s">
        <v>493</v>
      </c>
      <c r="C54" s="2" t="s">
        <v>83</v>
      </c>
      <c r="D54" s="2" t="s">
        <v>56</v>
      </c>
      <c r="E54" s="2" t="s">
        <v>57</v>
      </c>
      <c r="F54" s="2">
        <v>9952</v>
      </c>
      <c r="G54" s="2">
        <v>5</v>
      </c>
      <c r="H54" s="2">
        <v>3</v>
      </c>
      <c r="I54" s="2">
        <v>3</v>
      </c>
      <c r="J54" s="2" t="s">
        <v>169</v>
      </c>
      <c r="K54" s="2" t="s">
        <v>67</v>
      </c>
      <c r="L54">
        <f t="shared" si="0"/>
        <v>0</v>
      </c>
      <c r="M54" t="str">
        <f t="shared" si="1"/>
        <v>High</v>
      </c>
      <c r="N54" t="str">
        <f t="shared" si="2"/>
        <v>Medium (5-14h)</v>
      </c>
      <c r="Q54" s="2"/>
    </row>
    <row r="55" spans="1:17">
      <c r="A55" s="2">
        <v>1054</v>
      </c>
      <c r="B55" s="4" t="s">
        <v>494</v>
      </c>
      <c r="C55" s="2" t="s">
        <v>12</v>
      </c>
      <c r="D55" s="2" t="s">
        <v>13</v>
      </c>
      <c r="E55" s="2" t="s">
        <v>155</v>
      </c>
      <c r="F55" s="2">
        <v>9355</v>
      </c>
      <c r="G55" s="2">
        <v>1</v>
      </c>
      <c r="H55" s="2">
        <v>4</v>
      </c>
      <c r="I55" s="2">
        <v>2</v>
      </c>
      <c r="J55" s="2" t="s">
        <v>67</v>
      </c>
      <c r="K55" s="2" t="s">
        <v>67</v>
      </c>
      <c r="L55">
        <f t="shared" si="0"/>
        <v>0</v>
      </c>
      <c r="M55" t="str">
        <f t="shared" si="1"/>
        <v>High</v>
      </c>
      <c r="N55" t="str">
        <f t="shared" si="2"/>
        <v>Low (&lt;5h)</v>
      </c>
      <c r="Q55" s="2"/>
    </row>
    <row r="56" spans="1:17">
      <c r="A56" s="2">
        <v>1055</v>
      </c>
      <c r="B56" s="4" t="s">
        <v>495</v>
      </c>
      <c r="C56" s="2" t="s">
        <v>33</v>
      </c>
      <c r="D56" s="2" t="s">
        <v>19</v>
      </c>
      <c r="E56" s="2" t="s">
        <v>20</v>
      </c>
      <c r="F56" s="2">
        <v>11664</v>
      </c>
      <c r="G56" s="2">
        <v>9</v>
      </c>
      <c r="H56" s="2">
        <v>1</v>
      </c>
      <c r="I56" s="2">
        <v>2</v>
      </c>
      <c r="J56" s="2" t="s">
        <v>67</v>
      </c>
      <c r="K56" s="2" t="s">
        <v>169</v>
      </c>
      <c r="L56">
        <f t="shared" si="0"/>
        <v>1</v>
      </c>
      <c r="M56" t="str">
        <f t="shared" si="1"/>
        <v>High</v>
      </c>
      <c r="N56" t="str">
        <f t="shared" si="2"/>
        <v>Medium (5-14h)</v>
      </c>
      <c r="Q56" s="2"/>
    </row>
    <row r="57" spans="1:17">
      <c r="A57" s="2">
        <v>1056</v>
      </c>
      <c r="B57" s="4" t="s">
        <v>496</v>
      </c>
      <c r="C57" s="2" t="s">
        <v>101</v>
      </c>
      <c r="D57" s="2" t="s">
        <v>29</v>
      </c>
      <c r="E57" s="2" t="s">
        <v>102</v>
      </c>
      <c r="F57" s="2">
        <v>11435</v>
      </c>
      <c r="G57" s="2">
        <v>14</v>
      </c>
      <c r="H57" s="2">
        <v>3</v>
      </c>
      <c r="I57" s="2">
        <v>4</v>
      </c>
      <c r="J57" s="2" t="s">
        <v>67</v>
      </c>
      <c r="K57" s="2" t="s">
        <v>67</v>
      </c>
      <c r="L57">
        <f t="shared" si="0"/>
        <v>0</v>
      </c>
      <c r="M57" t="str">
        <f t="shared" si="1"/>
        <v>High</v>
      </c>
      <c r="N57" t="str">
        <f t="shared" si="2"/>
        <v>Medium (5-14h)</v>
      </c>
      <c r="Q57" s="2"/>
    </row>
    <row r="58" spans="1:17">
      <c r="A58" s="2">
        <v>1057</v>
      </c>
      <c r="B58" s="4" t="s">
        <v>497</v>
      </c>
      <c r="C58" s="2" t="s">
        <v>24</v>
      </c>
      <c r="D58" s="2" t="s">
        <v>25</v>
      </c>
      <c r="E58" s="2" t="s">
        <v>26</v>
      </c>
      <c r="F58" s="2">
        <v>14337</v>
      </c>
      <c r="G58" s="2">
        <v>4</v>
      </c>
      <c r="H58" s="2">
        <v>3</v>
      </c>
      <c r="I58" s="2">
        <v>2</v>
      </c>
      <c r="J58" s="2" t="s">
        <v>169</v>
      </c>
      <c r="K58" s="2" t="s">
        <v>67</v>
      </c>
      <c r="L58">
        <f t="shared" si="0"/>
        <v>0</v>
      </c>
      <c r="M58" t="str">
        <f t="shared" si="1"/>
        <v>High</v>
      </c>
      <c r="N58" t="str">
        <f t="shared" si="2"/>
        <v>Low (&lt;5h)</v>
      </c>
      <c r="Q58" s="2"/>
    </row>
    <row r="59" spans="1:17">
      <c r="A59" s="2">
        <v>1058</v>
      </c>
      <c r="B59" s="4" t="s">
        <v>498</v>
      </c>
      <c r="C59" s="2" t="s">
        <v>33</v>
      </c>
      <c r="D59" s="2" t="s">
        <v>56</v>
      </c>
      <c r="E59" s="2" t="s">
        <v>59</v>
      </c>
      <c r="F59" s="2">
        <v>7600</v>
      </c>
      <c r="G59" s="2">
        <v>11</v>
      </c>
      <c r="H59" s="2">
        <v>1</v>
      </c>
      <c r="I59" s="2">
        <v>2</v>
      </c>
      <c r="J59" s="2" t="s">
        <v>169</v>
      </c>
      <c r="K59" s="2" t="s">
        <v>67</v>
      </c>
      <c r="L59">
        <f t="shared" si="0"/>
        <v>0</v>
      </c>
      <c r="M59" t="str">
        <f t="shared" si="1"/>
        <v>Mid</v>
      </c>
      <c r="N59" t="str">
        <f t="shared" si="2"/>
        <v>Medium (5-14h)</v>
      </c>
      <c r="Q59" s="2"/>
    </row>
    <row r="60" spans="1:17">
      <c r="A60" s="2">
        <v>1059</v>
      </c>
      <c r="B60" s="4" t="s">
        <v>499</v>
      </c>
      <c r="C60" s="2" t="s">
        <v>101</v>
      </c>
      <c r="D60" s="2" t="s">
        <v>29</v>
      </c>
      <c r="E60" s="2" t="s">
        <v>102</v>
      </c>
      <c r="F60" s="2">
        <v>13797</v>
      </c>
      <c r="G60" s="2">
        <v>13</v>
      </c>
      <c r="H60" s="2">
        <v>1</v>
      </c>
      <c r="I60" s="2">
        <v>3</v>
      </c>
      <c r="J60" s="2" t="s">
        <v>169</v>
      </c>
      <c r="K60" s="2" t="s">
        <v>169</v>
      </c>
      <c r="L60">
        <f t="shared" si="0"/>
        <v>1</v>
      </c>
      <c r="M60" t="str">
        <f t="shared" si="1"/>
        <v>High</v>
      </c>
      <c r="N60" t="str">
        <f t="shared" si="2"/>
        <v>Medium (5-14h)</v>
      </c>
      <c r="Q60" s="2"/>
    </row>
    <row r="61" spans="1:17">
      <c r="A61" s="2">
        <v>1060</v>
      </c>
      <c r="B61" s="4" t="s">
        <v>500</v>
      </c>
      <c r="C61" s="2" t="s">
        <v>101</v>
      </c>
      <c r="D61" s="2" t="s">
        <v>29</v>
      </c>
      <c r="E61" s="2" t="s">
        <v>30</v>
      </c>
      <c r="F61" s="2">
        <v>3136</v>
      </c>
      <c r="G61" s="2">
        <v>2</v>
      </c>
      <c r="H61" s="2">
        <v>3</v>
      </c>
      <c r="I61" s="2">
        <v>4</v>
      </c>
      <c r="J61" s="2" t="s">
        <v>67</v>
      </c>
      <c r="K61" s="2" t="s">
        <v>67</v>
      </c>
      <c r="L61">
        <f t="shared" si="0"/>
        <v>0</v>
      </c>
      <c r="M61" t="str">
        <f t="shared" si="1"/>
        <v>Low</v>
      </c>
      <c r="N61" t="str">
        <f t="shared" si="2"/>
        <v>Low (&lt;5h)</v>
      </c>
      <c r="Q61" s="2"/>
    </row>
    <row r="62" spans="1:17">
      <c r="A62" s="2">
        <v>1061</v>
      </c>
      <c r="B62" s="4" t="s">
        <v>141</v>
      </c>
      <c r="C62" s="2" t="s">
        <v>233</v>
      </c>
      <c r="D62" s="2" t="s">
        <v>49</v>
      </c>
      <c r="E62" s="2" t="s">
        <v>50</v>
      </c>
      <c r="F62" s="2">
        <v>10889</v>
      </c>
      <c r="G62" s="2">
        <v>2</v>
      </c>
      <c r="H62" s="2">
        <v>2</v>
      </c>
      <c r="I62" s="2">
        <v>4</v>
      </c>
      <c r="J62" s="2" t="s">
        <v>169</v>
      </c>
      <c r="K62" s="2" t="s">
        <v>67</v>
      </c>
      <c r="L62">
        <f t="shared" si="0"/>
        <v>0</v>
      </c>
      <c r="M62" t="str">
        <f t="shared" si="1"/>
        <v>High</v>
      </c>
      <c r="N62" t="str">
        <f t="shared" si="2"/>
        <v>Low (&lt;5h)</v>
      </c>
      <c r="Q62" s="2"/>
    </row>
    <row r="63" spans="1:17">
      <c r="A63" s="2">
        <v>1062</v>
      </c>
      <c r="B63" s="4" t="s">
        <v>501</v>
      </c>
      <c r="C63" s="2" t="s">
        <v>33</v>
      </c>
      <c r="D63" s="2" t="s">
        <v>19</v>
      </c>
      <c r="E63" s="2" t="s">
        <v>34</v>
      </c>
      <c r="F63" s="2">
        <v>12822</v>
      </c>
      <c r="G63" s="2">
        <v>12</v>
      </c>
      <c r="H63" s="2">
        <v>2</v>
      </c>
      <c r="I63" s="2">
        <v>4</v>
      </c>
      <c r="J63" s="2" t="s">
        <v>169</v>
      </c>
      <c r="K63" s="2" t="s">
        <v>67</v>
      </c>
      <c r="L63">
        <f t="shared" si="0"/>
        <v>0</v>
      </c>
      <c r="M63" t="str">
        <f t="shared" si="1"/>
        <v>High</v>
      </c>
      <c r="N63" t="str">
        <f t="shared" si="2"/>
        <v>Medium (5-14h)</v>
      </c>
      <c r="Q63" s="2"/>
    </row>
    <row r="64" spans="1:17">
      <c r="A64" s="2">
        <v>1063</v>
      </c>
      <c r="B64" s="4" t="s">
        <v>502</v>
      </c>
      <c r="C64" s="2" t="s">
        <v>83</v>
      </c>
      <c r="D64" s="2" t="s">
        <v>56</v>
      </c>
      <c r="E64" s="2" t="s">
        <v>57</v>
      </c>
      <c r="F64" s="2">
        <v>12078</v>
      </c>
      <c r="G64" s="2">
        <v>0</v>
      </c>
      <c r="H64" s="2">
        <v>1</v>
      </c>
      <c r="I64" s="2">
        <v>1</v>
      </c>
      <c r="J64" s="2" t="s">
        <v>67</v>
      </c>
      <c r="K64" s="2" t="s">
        <v>67</v>
      </c>
      <c r="L64">
        <f t="shared" si="0"/>
        <v>0</v>
      </c>
      <c r="M64" t="str">
        <f t="shared" si="1"/>
        <v>High</v>
      </c>
      <c r="N64" t="str">
        <f t="shared" si="2"/>
        <v>Low (&lt;5h)</v>
      </c>
      <c r="Q64" s="2"/>
    </row>
    <row r="65" spans="1:17">
      <c r="A65" s="2">
        <v>1064</v>
      </c>
      <c r="B65" s="4" t="s">
        <v>503</v>
      </c>
      <c r="C65" s="2" t="s">
        <v>83</v>
      </c>
      <c r="D65" s="2" t="s">
        <v>56</v>
      </c>
      <c r="E65" s="2" t="s">
        <v>85</v>
      </c>
      <c r="F65" s="2">
        <v>4788</v>
      </c>
      <c r="G65" s="2">
        <v>0</v>
      </c>
      <c r="H65" s="2">
        <v>2</v>
      </c>
      <c r="I65" s="2">
        <v>3</v>
      </c>
      <c r="J65" s="2" t="s">
        <v>169</v>
      </c>
      <c r="K65" s="2" t="s">
        <v>67</v>
      </c>
      <c r="L65">
        <f t="shared" si="0"/>
        <v>0</v>
      </c>
      <c r="M65" t="str">
        <f t="shared" si="1"/>
        <v>Mid</v>
      </c>
      <c r="N65" t="str">
        <f t="shared" si="2"/>
        <v>Low (&lt;5h)</v>
      </c>
      <c r="Q65" s="2"/>
    </row>
    <row r="66" spans="1:17">
      <c r="A66" s="2">
        <v>1065</v>
      </c>
      <c r="B66" s="4" t="s">
        <v>504</v>
      </c>
      <c r="C66" s="2" t="s">
        <v>33</v>
      </c>
      <c r="D66" s="2" t="s">
        <v>19</v>
      </c>
      <c r="E66" s="2" t="s">
        <v>112</v>
      </c>
      <c r="F66" s="2">
        <v>9172</v>
      </c>
      <c r="G66" s="2">
        <v>4</v>
      </c>
      <c r="H66" s="2">
        <v>2</v>
      </c>
      <c r="I66" s="2">
        <v>3</v>
      </c>
      <c r="J66" s="2" t="s">
        <v>67</v>
      </c>
      <c r="K66" s="2" t="s">
        <v>67</v>
      </c>
      <c r="L66">
        <f t="shared" si="0"/>
        <v>0</v>
      </c>
      <c r="M66" t="str">
        <f t="shared" si="1"/>
        <v>High</v>
      </c>
      <c r="N66" t="str">
        <f t="shared" si="2"/>
        <v>Low (&lt;5h)</v>
      </c>
      <c r="Q66" s="2"/>
    </row>
    <row r="67" spans="1:17">
      <c r="A67" s="2">
        <v>1066</v>
      </c>
      <c r="B67" s="4" t="s">
        <v>505</v>
      </c>
      <c r="C67" s="2" t="s">
        <v>33</v>
      </c>
      <c r="D67" s="2" t="s">
        <v>19</v>
      </c>
      <c r="E67" s="2" t="s">
        <v>20</v>
      </c>
      <c r="F67" s="2">
        <v>12725</v>
      </c>
      <c r="G67" s="2">
        <v>16</v>
      </c>
      <c r="H67" s="2">
        <v>2</v>
      </c>
      <c r="I67" s="2">
        <v>3</v>
      </c>
      <c r="J67" s="2" t="s">
        <v>169</v>
      </c>
      <c r="K67" s="2" t="s">
        <v>67</v>
      </c>
      <c r="L67">
        <f t="shared" ref="L67:L130" si="3">IF(K67="YES",1,0)</f>
        <v>0</v>
      </c>
      <c r="M67" t="str">
        <f t="shared" ref="M67:M130" si="4">IF(F67&lt;4500,"Low",IF(F67&lt;9000,"Mid","High"))</f>
        <v>High</v>
      </c>
      <c r="N67" t="str">
        <f t="shared" ref="N67:N130" si="5">IF(G67&lt;5,"Low (&lt;5h)",IF(G67&lt;15,"Medium (5-14h)","High (15h+)"))</f>
        <v>High (15h+)</v>
      </c>
      <c r="Q67" s="2"/>
    </row>
    <row r="68" spans="1:17">
      <c r="A68" s="2">
        <v>1067</v>
      </c>
      <c r="B68" s="4" t="s">
        <v>139</v>
      </c>
      <c r="C68" s="2" t="s">
        <v>233</v>
      </c>
      <c r="D68" s="2" t="s">
        <v>49</v>
      </c>
      <c r="E68" s="2" t="s">
        <v>62</v>
      </c>
      <c r="F68" s="2">
        <v>14017</v>
      </c>
      <c r="G68" s="2">
        <v>9</v>
      </c>
      <c r="H68" s="2">
        <v>3</v>
      </c>
      <c r="I68" s="2">
        <v>4</v>
      </c>
      <c r="J68" s="2" t="s">
        <v>169</v>
      </c>
      <c r="K68" s="2" t="s">
        <v>67</v>
      </c>
      <c r="L68">
        <f t="shared" si="3"/>
        <v>0</v>
      </c>
      <c r="M68" t="str">
        <f t="shared" si="4"/>
        <v>High</v>
      </c>
      <c r="N68" t="str">
        <f t="shared" si="5"/>
        <v>Medium (5-14h)</v>
      </c>
      <c r="Q68" s="2"/>
    </row>
    <row r="69" spans="1:17">
      <c r="A69" s="2">
        <v>1068</v>
      </c>
      <c r="B69" s="4" t="s">
        <v>506</v>
      </c>
      <c r="C69" s="2" t="s">
        <v>233</v>
      </c>
      <c r="D69" s="2" t="s">
        <v>49</v>
      </c>
      <c r="E69" s="2" t="s">
        <v>50</v>
      </c>
      <c r="F69" s="2">
        <v>11093</v>
      </c>
      <c r="G69" s="2">
        <v>1</v>
      </c>
      <c r="H69" s="2">
        <v>3</v>
      </c>
      <c r="I69" s="2">
        <v>2</v>
      </c>
      <c r="J69" s="2" t="s">
        <v>169</v>
      </c>
      <c r="K69" s="2" t="s">
        <v>67</v>
      </c>
      <c r="L69">
        <f t="shared" si="3"/>
        <v>0</v>
      </c>
      <c r="M69" t="str">
        <f t="shared" si="4"/>
        <v>High</v>
      </c>
      <c r="N69" t="str">
        <f t="shared" si="5"/>
        <v>Low (&lt;5h)</v>
      </c>
      <c r="Q69" s="2"/>
    </row>
    <row r="70" spans="1:17">
      <c r="A70" s="2">
        <v>1069</v>
      </c>
      <c r="B70" s="4" t="s">
        <v>507</v>
      </c>
      <c r="C70" s="2" t="s">
        <v>33</v>
      </c>
      <c r="D70" s="2" t="s">
        <v>19</v>
      </c>
      <c r="E70" s="2" t="s">
        <v>20</v>
      </c>
      <c r="F70" s="2">
        <v>12412</v>
      </c>
      <c r="G70" s="2">
        <v>3</v>
      </c>
      <c r="H70" s="2">
        <v>4</v>
      </c>
      <c r="I70" s="2">
        <v>4</v>
      </c>
      <c r="J70" s="2" t="s">
        <v>169</v>
      </c>
      <c r="K70" s="2" t="s">
        <v>67</v>
      </c>
      <c r="L70">
        <f t="shared" si="3"/>
        <v>0</v>
      </c>
      <c r="M70" t="str">
        <f t="shared" si="4"/>
        <v>High</v>
      </c>
      <c r="N70" t="str">
        <f t="shared" si="5"/>
        <v>Low (&lt;5h)</v>
      </c>
      <c r="Q70" s="2"/>
    </row>
    <row r="71" spans="1:17">
      <c r="A71" s="2">
        <v>1070</v>
      </c>
      <c r="B71" s="4" t="s">
        <v>508</v>
      </c>
      <c r="C71" s="2" t="s">
        <v>33</v>
      </c>
      <c r="D71" s="2" t="s">
        <v>19</v>
      </c>
      <c r="E71" s="2" t="s">
        <v>112</v>
      </c>
      <c r="F71" s="2">
        <v>13296</v>
      </c>
      <c r="G71" s="2">
        <v>6</v>
      </c>
      <c r="H71" s="2">
        <v>1</v>
      </c>
      <c r="I71" s="2">
        <v>3</v>
      </c>
      <c r="J71" s="2" t="s">
        <v>67</v>
      </c>
      <c r="K71" s="2" t="s">
        <v>67</v>
      </c>
      <c r="L71">
        <f t="shared" si="3"/>
        <v>0</v>
      </c>
      <c r="M71" t="str">
        <f t="shared" si="4"/>
        <v>High</v>
      </c>
      <c r="N71" t="str">
        <f t="shared" si="5"/>
        <v>Medium (5-14h)</v>
      </c>
      <c r="Q71" s="2"/>
    </row>
    <row r="72" spans="1:17">
      <c r="A72" s="2">
        <v>1071</v>
      </c>
      <c r="B72" s="4" t="s">
        <v>509</v>
      </c>
      <c r="C72" s="2" t="s">
        <v>101</v>
      </c>
      <c r="D72" s="2" t="s">
        <v>29</v>
      </c>
      <c r="E72" s="2" t="s">
        <v>102</v>
      </c>
      <c r="F72" s="2">
        <v>12463</v>
      </c>
      <c r="G72" s="2">
        <v>0</v>
      </c>
      <c r="H72" s="2">
        <v>1</v>
      </c>
      <c r="I72" s="2">
        <v>2</v>
      </c>
      <c r="J72" s="2" t="s">
        <v>169</v>
      </c>
      <c r="K72" s="2" t="s">
        <v>67</v>
      </c>
      <c r="L72">
        <f t="shared" si="3"/>
        <v>0</v>
      </c>
      <c r="M72" t="str">
        <f t="shared" si="4"/>
        <v>High</v>
      </c>
      <c r="N72" t="str">
        <f t="shared" si="5"/>
        <v>Low (&lt;5h)</v>
      </c>
      <c r="Q72" s="2"/>
    </row>
    <row r="73" spans="1:17">
      <c r="A73" s="2">
        <v>1072</v>
      </c>
      <c r="B73" s="4" t="s">
        <v>510</v>
      </c>
      <c r="C73" s="2" t="s">
        <v>101</v>
      </c>
      <c r="D73" s="2" t="s">
        <v>29</v>
      </c>
      <c r="E73" s="2" t="s">
        <v>30</v>
      </c>
      <c r="F73" s="2">
        <v>10211</v>
      </c>
      <c r="G73" s="2">
        <v>2</v>
      </c>
      <c r="H73" s="2">
        <v>4</v>
      </c>
      <c r="I73" s="2">
        <v>2</v>
      </c>
      <c r="J73" s="2" t="s">
        <v>169</v>
      </c>
      <c r="K73" s="2" t="s">
        <v>67</v>
      </c>
      <c r="L73">
        <f t="shared" si="3"/>
        <v>0</v>
      </c>
      <c r="M73" t="str">
        <f t="shared" si="4"/>
        <v>High</v>
      </c>
      <c r="N73" t="str">
        <f t="shared" si="5"/>
        <v>Low (&lt;5h)</v>
      </c>
      <c r="Q73" s="2"/>
    </row>
    <row r="74" spans="1:17">
      <c r="A74" s="2">
        <v>1073</v>
      </c>
      <c r="B74" s="4" t="s">
        <v>511</v>
      </c>
      <c r="C74" s="2" t="s">
        <v>33</v>
      </c>
      <c r="D74" s="2" t="s">
        <v>19</v>
      </c>
      <c r="E74" s="2" t="s">
        <v>112</v>
      </c>
      <c r="F74" s="2">
        <v>13138</v>
      </c>
      <c r="G74" s="2">
        <v>15</v>
      </c>
      <c r="H74" s="2">
        <v>1</v>
      </c>
      <c r="I74" s="2">
        <v>3</v>
      </c>
      <c r="J74" s="2" t="s">
        <v>169</v>
      </c>
      <c r="K74" s="2" t="s">
        <v>169</v>
      </c>
      <c r="L74">
        <f t="shared" si="3"/>
        <v>1</v>
      </c>
      <c r="M74" t="str">
        <f t="shared" si="4"/>
        <v>High</v>
      </c>
      <c r="N74" t="str">
        <f t="shared" si="5"/>
        <v>High (15h+)</v>
      </c>
      <c r="Q74" s="2"/>
    </row>
    <row r="75" spans="1:17">
      <c r="A75" s="2">
        <v>1074</v>
      </c>
      <c r="B75" s="4" t="s">
        <v>211</v>
      </c>
      <c r="C75" s="2" t="s">
        <v>233</v>
      </c>
      <c r="D75" s="2" t="s">
        <v>49</v>
      </c>
      <c r="E75" s="2" t="s">
        <v>78</v>
      </c>
      <c r="F75" s="2">
        <v>8699</v>
      </c>
      <c r="G75" s="2">
        <v>2</v>
      </c>
      <c r="H75" s="2">
        <v>3</v>
      </c>
      <c r="I75" s="2">
        <v>2</v>
      </c>
      <c r="J75" s="2" t="s">
        <v>67</v>
      </c>
      <c r="K75" s="2" t="s">
        <v>67</v>
      </c>
      <c r="L75">
        <f t="shared" si="3"/>
        <v>0</v>
      </c>
      <c r="M75" t="str">
        <f t="shared" si="4"/>
        <v>Mid</v>
      </c>
      <c r="N75" t="str">
        <f t="shared" si="5"/>
        <v>Low (&lt;5h)</v>
      </c>
      <c r="Q75" s="2"/>
    </row>
    <row r="76" spans="1:17">
      <c r="A76" s="2">
        <v>1075</v>
      </c>
      <c r="B76" s="4" t="s">
        <v>512</v>
      </c>
      <c r="C76" s="2" t="s">
        <v>101</v>
      </c>
      <c r="D76" s="2" t="s">
        <v>29</v>
      </c>
      <c r="E76" s="2" t="s">
        <v>30</v>
      </c>
      <c r="F76" s="2">
        <v>11294</v>
      </c>
      <c r="G76" s="2">
        <v>10</v>
      </c>
      <c r="H76" s="2">
        <v>3</v>
      </c>
      <c r="I76" s="2">
        <v>3</v>
      </c>
      <c r="J76" s="2" t="s">
        <v>67</v>
      </c>
      <c r="K76" s="2" t="s">
        <v>169</v>
      </c>
      <c r="L76">
        <f t="shared" si="3"/>
        <v>1</v>
      </c>
      <c r="M76" t="str">
        <f t="shared" si="4"/>
        <v>High</v>
      </c>
      <c r="N76" t="str">
        <f t="shared" si="5"/>
        <v>Medium (5-14h)</v>
      </c>
      <c r="Q76" s="2"/>
    </row>
    <row r="77" spans="1:17">
      <c r="A77" s="2">
        <v>1076</v>
      </c>
      <c r="B77" s="4" t="s">
        <v>513</v>
      </c>
      <c r="C77" s="2" t="s">
        <v>233</v>
      </c>
      <c r="D77" s="2" t="s">
        <v>49</v>
      </c>
      <c r="E77" s="2" t="s">
        <v>62</v>
      </c>
      <c r="F77" s="2">
        <v>9048</v>
      </c>
      <c r="G77" s="2">
        <v>2</v>
      </c>
      <c r="H77" s="2">
        <v>3</v>
      </c>
      <c r="I77" s="2">
        <v>2</v>
      </c>
      <c r="J77" s="2" t="s">
        <v>67</v>
      </c>
      <c r="K77" s="2" t="s">
        <v>67</v>
      </c>
      <c r="L77">
        <f t="shared" si="3"/>
        <v>0</v>
      </c>
      <c r="M77" t="str">
        <f t="shared" si="4"/>
        <v>High</v>
      </c>
      <c r="N77" t="str">
        <f t="shared" si="5"/>
        <v>Low (&lt;5h)</v>
      </c>
      <c r="Q77" s="2"/>
    </row>
    <row r="78" spans="1:17">
      <c r="A78" s="2">
        <v>1077</v>
      </c>
      <c r="B78" s="4" t="s">
        <v>514</v>
      </c>
      <c r="C78" s="2" t="s">
        <v>101</v>
      </c>
      <c r="D78" s="2" t="s">
        <v>29</v>
      </c>
      <c r="E78" s="2" t="s">
        <v>102</v>
      </c>
      <c r="F78" s="2">
        <v>4485</v>
      </c>
      <c r="G78" s="2">
        <v>6</v>
      </c>
      <c r="H78" s="2">
        <v>2</v>
      </c>
      <c r="I78" s="2">
        <v>4</v>
      </c>
      <c r="J78" s="2" t="s">
        <v>169</v>
      </c>
      <c r="K78" s="2" t="s">
        <v>169</v>
      </c>
      <c r="L78">
        <f t="shared" si="3"/>
        <v>1</v>
      </c>
      <c r="M78" t="str">
        <f t="shared" si="4"/>
        <v>Low</v>
      </c>
      <c r="N78" t="str">
        <f t="shared" si="5"/>
        <v>Medium (5-14h)</v>
      </c>
      <c r="Q78" s="2"/>
    </row>
    <row r="79" spans="1:17">
      <c r="A79" s="2">
        <v>1078</v>
      </c>
      <c r="B79" s="4" t="s">
        <v>245</v>
      </c>
      <c r="C79" s="2" t="s">
        <v>233</v>
      </c>
      <c r="D79" s="2" t="s">
        <v>49</v>
      </c>
      <c r="E79" s="2" t="s">
        <v>50</v>
      </c>
      <c r="F79" s="2">
        <v>9365</v>
      </c>
      <c r="G79" s="2">
        <v>10</v>
      </c>
      <c r="H79" s="2">
        <v>1</v>
      </c>
      <c r="I79" s="2">
        <v>4</v>
      </c>
      <c r="J79" s="2" t="s">
        <v>169</v>
      </c>
      <c r="K79" s="2" t="s">
        <v>169</v>
      </c>
      <c r="L79">
        <f t="shared" si="3"/>
        <v>1</v>
      </c>
      <c r="M79" t="str">
        <f t="shared" si="4"/>
        <v>High</v>
      </c>
      <c r="N79" t="str">
        <f t="shared" si="5"/>
        <v>Medium (5-14h)</v>
      </c>
      <c r="Q79" s="2"/>
    </row>
    <row r="80" spans="1:17">
      <c r="A80" s="2">
        <v>1079</v>
      </c>
      <c r="B80" s="4" t="s">
        <v>515</v>
      </c>
      <c r="C80" s="2" t="s">
        <v>33</v>
      </c>
      <c r="D80" s="2" t="s">
        <v>13</v>
      </c>
      <c r="E80" s="2" t="s">
        <v>14</v>
      </c>
      <c r="F80" s="2">
        <v>3566</v>
      </c>
      <c r="G80" s="2">
        <v>12</v>
      </c>
      <c r="H80" s="2">
        <v>3</v>
      </c>
      <c r="I80" s="2">
        <v>4</v>
      </c>
      <c r="J80" s="2" t="s">
        <v>169</v>
      </c>
      <c r="K80" s="2" t="s">
        <v>169</v>
      </c>
      <c r="L80">
        <f t="shared" si="3"/>
        <v>1</v>
      </c>
      <c r="M80" t="str">
        <f t="shared" si="4"/>
        <v>Low</v>
      </c>
      <c r="N80" t="str">
        <f t="shared" si="5"/>
        <v>Medium (5-14h)</v>
      </c>
      <c r="Q80" s="2"/>
    </row>
    <row r="81" spans="1:17">
      <c r="A81" s="2">
        <v>1080</v>
      </c>
      <c r="B81" s="4" t="s">
        <v>516</v>
      </c>
      <c r="C81" s="2" t="s">
        <v>33</v>
      </c>
      <c r="D81" s="2" t="s">
        <v>19</v>
      </c>
      <c r="E81" s="2" t="s">
        <v>20</v>
      </c>
      <c r="F81" s="2">
        <v>4184</v>
      </c>
      <c r="G81" s="2">
        <v>0</v>
      </c>
      <c r="H81" s="2">
        <v>3</v>
      </c>
      <c r="I81" s="2">
        <v>2</v>
      </c>
      <c r="J81" s="2" t="s">
        <v>169</v>
      </c>
      <c r="K81" s="2" t="s">
        <v>67</v>
      </c>
      <c r="L81">
        <f t="shared" si="3"/>
        <v>0</v>
      </c>
      <c r="M81" t="str">
        <f t="shared" si="4"/>
        <v>Low</v>
      </c>
      <c r="N81" t="str">
        <f t="shared" si="5"/>
        <v>Low (&lt;5h)</v>
      </c>
      <c r="Q81" s="2"/>
    </row>
    <row r="82" spans="1:17">
      <c r="A82" s="2">
        <v>1081</v>
      </c>
      <c r="B82" s="4" t="s">
        <v>517</v>
      </c>
      <c r="C82" s="2" t="s">
        <v>24</v>
      </c>
      <c r="D82" s="2" t="s">
        <v>25</v>
      </c>
      <c r="E82" s="2" t="s">
        <v>38</v>
      </c>
      <c r="F82" s="2">
        <v>11195</v>
      </c>
      <c r="G82" s="2">
        <v>0</v>
      </c>
      <c r="H82" s="2">
        <v>3</v>
      </c>
      <c r="I82" s="2">
        <v>2</v>
      </c>
      <c r="J82" s="2" t="s">
        <v>67</v>
      </c>
      <c r="K82" s="2" t="s">
        <v>67</v>
      </c>
      <c r="L82">
        <f t="shared" si="3"/>
        <v>0</v>
      </c>
      <c r="M82" t="str">
        <f t="shared" si="4"/>
        <v>High</v>
      </c>
      <c r="N82" t="str">
        <f t="shared" si="5"/>
        <v>Low (&lt;5h)</v>
      </c>
      <c r="Q82" s="2"/>
    </row>
    <row r="83" spans="1:17">
      <c r="A83" s="2">
        <v>1082</v>
      </c>
      <c r="B83" s="4" t="s">
        <v>121</v>
      </c>
      <c r="C83" s="2" t="s">
        <v>24</v>
      </c>
      <c r="D83" s="2" t="s">
        <v>25</v>
      </c>
      <c r="E83" s="2" t="s">
        <v>26</v>
      </c>
      <c r="F83" s="2">
        <v>8321</v>
      </c>
      <c r="G83" s="2">
        <v>3</v>
      </c>
      <c r="H83" s="2">
        <v>4</v>
      </c>
      <c r="I83" s="2">
        <v>3</v>
      </c>
      <c r="J83" s="2" t="s">
        <v>169</v>
      </c>
      <c r="K83" s="2" t="s">
        <v>67</v>
      </c>
      <c r="L83">
        <f t="shared" si="3"/>
        <v>0</v>
      </c>
      <c r="M83" t="str">
        <f t="shared" si="4"/>
        <v>Mid</v>
      </c>
      <c r="N83" t="str">
        <f t="shared" si="5"/>
        <v>Low (&lt;5h)</v>
      </c>
      <c r="Q83" s="2"/>
    </row>
    <row r="84" spans="1:17">
      <c r="A84" s="2">
        <v>1083</v>
      </c>
      <c r="B84" s="4" t="s">
        <v>80</v>
      </c>
      <c r="C84" s="2" t="s">
        <v>233</v>
      </c>
      <c r="D84" s="2" t="s">
        <v>49</v>
      </c>
      <c r="E84" s="2" t="s">
        <v>62</v>
      </c>
      <c r="F84" s="2">
        <v>12750</v>
      </c>
      <c r="G84" s="2">
        <v>16</v>
      </c>
      <c r="H84" s="2">
        <v>2</v>
      </c>
      <c r="I84" s="2">
        <v>3</v>
      </c>
      <c r="J84" s="2" t="s">
        <v>169</v>
      </c>
      <c r="K84" s="2" t="s">
        <v>67</v>
      </c>
      <c r="L84">
        <f t="shared" si="3"/>
        <v>0</v>
      </c>
      <c r="M84" t="str">
        <f t="shared" si="4"/>
        <v>High</v>
      </c>
      <c r="N84" t="str">
        <f t="shared" si="5"/>
        <v>High (15h+)</v>
      </c>
      <c r="Q84" s="2"/>
    </row>
    <row r="85" spans="1:17">
      <c r="A85" s="2">
        <v>1084</v>
      </c>
      <c r="B85" s="4" t="s">
        <v>518</v>
      </c>
      <c r="C85" s="2" t="s">
        <v>12</v>
      </c>
      <c r="D85" s="2" t="s">
        <v>13</v>
      </c>
      <c r="E85" s="2" t="s">
        <v>155</v>
      </c>
      <c r="F85" s="2">
        <v>3219</v>
      </c>
      <c r="G85" s="2">
        <v>15</v>
      </c>
      <c r="H85" s="2">
        <v>1</v>
      </c>
      <c r="I85" s="2">
        <v>3</v>
      </c>
      <c r="J85" s="2" t="s">
        <v>67</v>
      </c>
      <c r="K85" s="2" t="s">
        <v>169</v>
      </c>
      <c r="L85">
        <f t="shared" si="3"/>
        <v>1</v>
      </c>
      <c r="M85" t="str">
        <f t="shared" si="4"/>
        <v>Low</v>
      </c>
      <c r="N85" t="str">
        <f t="shared" si="5"/>
        <v>High (15h+)</v>
      </c>
      <c r="Q85" s="2"/>
    </row>
    <row r="86" spans="1:17">
      <c r="A86" s="2">
        <v>1085</v>
      </c>
      <c r="B86" s="4" t="s">
        <v>357</v>
      </c>
      <c r="C86" s="2" t="s">
        <v>24</v>
      </c>
      <c r="D86" s="2" t="s">
        <v>25</v>
      </c>
      <c r="E86" s="2" t="s">
        <v>26</v>
      </c>
      <c r="F86" s="2">
        <v>10774</v>
      </c>
      <c r="G86" s="2">
        <v>0</v>
      </c>
      <c r="H86" s="2">
        <v>4</v>
      </c>
      <c r="I86" s="2">
        <v>3</v>
      </c>
      <c r="J86" s="2" t="s">
        <v>67</v>
      </c>
      <c r="K86" s="2" t="s">
        <v>169</v>
      </c>
      <c r="L86">
        <f t="shared" si="3"/>
        <v>1</v>
      </c>
      <c r="M86" t="str">
        <f t="shared" si="4"/>
        <v>High</v>
      </c>
      <c r="N86" t="str">
        <f t="shared" si="5"/>
        <v>Low (&lt;5h)</v>
      </c>
      <c r="Q86" s="2"/>
    </row>
    <row r="87" spans="1:17">
      <c r="A87" s="2">
        <v>1086</v>
      </c>
      <c r="B87" s="4" t="s">
        <v>519</v>
      </c>
      <c r="C87" s="2" t="s">
        <v>33</v>
      </c>
      <c r="D87" s="2" t="s">
        <v>56</v>
      </c>
      <c r="E87" s="2" t="s">
        <v>59</v>
      </c>
      <c r="F87" s="2">
        <v>12056</v>
      </c>
      <c r="G87" s="2">
        <v>13</v>
      </c>
      <c r="H87" s="2">
        <v>2</v>
      </c>
      <c r="I87" s="2">
        <v>4</v>
      </c>
      <c r="J87" s="2" t="s">
        <v>169</v>
      </c>
      <c r="K87" s="2" t="s">
        <v>67</v>
      </c>
      <c r="L87">
        <f t="shared" si="3"/>
        <v>0</v>
      </c>
      <c r="M87" t="str">
        <f t="shared" si="4"/>
        <v>High</v>
      </c>
      <c r="N87" t="str">
        <f t="shared" si="5"/>
        <v>Medium (5-14h)</v>
      </c>
      <c r="Q87" s="2"/>
    </row>
    <row r="88" spans="1:17">
      <c r="A88" s="2">
        <v>1087</v>
      </c>
      <c r="B88" s="4" t="s">
        <v>520</v>
      </c>
      <c r="C88" s="2" t="s">
        <v>33</v>
      </c>
      <c r="D88" s="2" t="s">
        <v>19</v>
      </c>
      <c r="E88" s="2" t="s">
        <v>34</v>
      </c>
      <c r="F88" s="2">
        <v>5154</v>
      </c>
      <c r="G88" s="2">
        <v>2</v>
      </c>
      <c r="H88" s="2">
        <v>2</v>
      </c>
      <c r="I88" s="2">
        <v>4</v>
      </c>
      <c r="J88" s="2" t="s">
        <v>169</v>
      </c>
      <c r="K88" s="2" t="s">
        <v>67</v>
      </c>
      <c r="L88">
        <f t="shared" si="3"/>
        <v>0</v>
      </c>
      <c r="M88" t="str">
        <f t="shared" si="4"/>
        <v>Mid</v>
      </c>
      <c r="N88" t="str">
        <f t="shared" si="5"/>
        <v>Low (&lt;5h)</v>
      </c>
      <c r="Q88" s="2"/>
    </row>
    <row r="89" spans="1:17">
      <c r="A89" s="2">
        <v>1088</v>
      </c>
      <c r="B89" s="4" t="s">
        <v>521</v>
      </c>
      <c r="C89" s="2" t="s">
        <v>24</v>
      </c>
      <c r="D89" s="2" t="s">
        <v>25</v>
      </c>
      <c r="E89" s="2" t="s">
        <v>26</v>
      </c>
      <c r="F89" s="2">
        <v>12346</v>
      </c>
      <c r="G89" s="2">
        <v>5</v>
      </c>
      <c r="H89" s="2">
        <v>4</v>
      </c>
      <c r="I89" s="2">
        <v>1</v>
      </c>
      <c r="J89" s="2" t="s">
        <v>169</v>
      </c>
      <c r="K89" s="2" t="s">
        <v>67</v>
      </c>
      <c r="L89">
        <f t="shared" si="3"/>
        <v>0</v>
      </c>
      <c r="M89" t="str">
        <f t="shared" si="4"/>
        <v>High</v>
      </c>
      <c r="N89" t="str">
        <f t="shared" si="5"/>
        <v>Medium (5-14h)</v>
      </c>
      <c r="Q89" s="2"/>
    </row>
    <row r="90" spans="1:17">
      <c r="A90" s="2">
        <v>1089</v>
      </c>
      <c r="B90" s="4" t="s">
        <v>522</v>
      </c>
      <c r="C90" s="2" t="s">
        <v>24</v>
      </c>
      <c r="D90" s="2" t="s">
        <v>25</v>
      </c>
      <c r="E90" s="2" t="s">
        <v>38</v>
      </c>
      <c r="F90" s="2">
        <v>5642</v>
      </c>
      <c r="G90" s="2">
        <v>10</v>
      </c>
      <c r="H90" s="2">
        <v>1</v>
      </c>
      <c r="I90" s="2">
        <v>3</v>
      </c>
      <c r="J90" s="2" t="s">
        <v>67</v>
      </c>
      <c r="K90" s="2" t="s">
        <v>67</v>
      </c>
      <c r="L90">
        <f t="shared" si="3"/>
        <v>0</v>
      </c>
      <c r="M90" t="str">
        <f t="shared" si="4"/>
        <v>Mid</v>
      </c>
      <c r="N90" t="str">
        <f t="shared" si="5"/>
        <v>Medium (5-14h)</v>
      </c>
      <c r="Q90" s="2"/>
    </row>
    <row r="91" spans="1:17">
      <c r="A91" s="2">
        <v>1090</v>
      </c>
      <c r="B91" s="4" t="s">
        <v>523</v>
      </c>
      <c r="C91" s="2" t="s">
        <v>33</v>
      </c>
      <c r="D91" s="2" t="s">
        <v>19</v>
      </c>
      <c r="E91" s="2" t="s">
        <v>112</v>
      </c>
      <c r="F91" s="2">
        <v>11892</v>
      </c>
      <c r="G91" s="2">
        <v>13</v>
      </c>
      <c r="H91" s="2">
        <v>2</v>
      </c>
      <c r="I91" s="2">
        <v>4</v>
      </c>
      <c r="J91" s="2" t="s">
        <v>67</v>
      </c>
      <c r="K91" s="2" t="s">
        <v>67</v>
      </c>
      <c r="L91">
        <f t="shared" si="3"/>
        <v>0</v>
      </c>
      <c r="M91" t="str">
        <f t="shared" si="4"/>
        <v>High</v>
      </c>
      <c r="N91" t="str">
        <f t="shared" si="5"/>
        <v>Medium (5-14h)</v>
      </c>
      <c r="Q91" s="2"/>
    </row>
    <row r="92" spans="1:17">
      <c r="A92" s="2">
        <v>1091</v>
      </c>
      <c r="B92" s="4" t="s">
        <v>524</v>
      </c>
      <c r="C92" s="2" t="s">
        <v>33</v>
      </c>
      <c r="D92" s="2" t="s">
        <v>56</v>
      </c>
      <c r="E92" s="2" t="s">
        <v>59</v>
      </c>
      <c r="F92" s="2">
        <v>11205</v>
      </c>
      <c r="G92" s="2">
        <v>17</v>
      </c>
      <c r="H92" s="2">
        <v>2</v>
      </c>
      <c r="I92" s="2">
        <v>1</v>
      </c>
      <c r="J92" s="2" t="s">
        <v>67</v>
      </c>
      <c r="K92" s="2" t="s">
        <v>67</v>
      </c>
      <c r="L92">
        <f t="shared" si="3"/>
        <v>0</v>
      </c>
      <c r="M92" t="str">
        <f t="shared" si="4"/>
        <v>High</v>
      </c>
      <c r="N92" t="str">
        <f t="shared" si="5"/>
        <v>High (15h+)</v>
      </c>
      <c r="Q92" s="2"/>
    </row>
    <row r="93" spans="1:17">
      <c r="A93" s="2">
        <v>1092</v>
      </c>
      <c r="B93" s="4" t="s">
        <v>525</v>
      </c>
      <c r="C93" s="2" t="s">
        <v>233</v>
      </c>
      <c r="D93" s="2" t="s">
        <v>49</v>
      </c>
      <c r="E93" s="2" t="s">
        <v>78</v>
      </c>
      <c r="F93" s="2">
        <v>9336</v>
      </c>
      <c r="G93" s="2">
        <v>14</v>
      </c>
      <c r="H93" s="2">
        <v>1</v>
      </c>
      <c r="I93" s="2">
        <v>4</v>
      </c>
      <c r="J93" s="2" t="s">
        <v>169</v>
      </c>
      <c r="K93" s="2" t="s">
        <v>169</v>
      </c>
      <c r="L93">
        <f t="shared" si="3"/>
        <v>1</v>
      </c>
      <c r="M93" t="str">
        <f t="shared" si="4"/>
        <v>High</v>
      </c>
      <c r="N93" t="str">
        <f t="shared" si="5"/>
        <v>Medium (5-14h)</v>
      </c>
      <c r="Q93" s="2"/>
    </row>
    <row r="94" spans="1:17">
      <c r="A94" s="2">
        <v>1093</v>
      </c>
      <c r="B94" s="4" t="s">
        <v>526</v>
      </c>
      <c r="C94" s="2" t="s">
        <v>101</v>
      </c>
      <c r="D94" s="2" t="s">
        <v>29</v>
      </c>
      <c r="E94" s="2" t="s">
        <v>30</v>
      </c>
      <c r="F94" s="2">
        <v>9429</v>
      </c>
      <c r="G94" s="2">
        <v>11</v>
      </c>
      <c r="H94" s="2">
        <v>1</v>
      </c>
      <c r="I94" s="2">
        <v>3</v>
      </c>
      <c r="J94" s="2" t="s">
        <v>169</v>
      </c>
      <c r="K94" s="2" t="s">
        <v>169</v>
      </c>
      <c r="L94">
        <f t="shared" si="3"/>
        <v>1</v>
      </c>
      <c r="M94" t="str">
        <f t="shared" si="4"/>
        <v>High</v>
      </c>
      <c r="N94" t="str">
        <f t="shared" si="5"/>
        <v>Medium (5-14h)</v>
      </c>
      <c r="Q94" s="2"/>
    </row>
    <row r="95" spans="1:17">
      <c r="A95" s="2">
        <v>1094</v>
      </c>
      <c r="B95" s="4" t="s">
        <v>527</v>
      </c>
      <c r="C95" s="2" t="s">
        <v>233</v>
      </c>
      <c r="D95" s="2" t="s">
        <v>49</v>
      </c>
      <c r="E95" s="2" t="s">
        <v>78</v>
      </c>
      <c r="F95" s="2">
        <v>8463</v>
      </c>
      <c r="G95" s="2">
        <v>8</v>
      </c>
      <c r="H95" s="2">
        <v>4</v>
      </c>
      <c r="I95" s="2">
        <v>4</v>
      </c>
      <c r="J95" s="2" t="s">
        <v>169</v>
      </c>
      <c r="K95" s="2" t="s">
        <v>67</v>
      </c>
      <c r="L95">
        <f t="shared" si="3"/>
        <v>0</v>
      </c>
      <c r="M95" t="str">
        <f t="shared" si="4"/>
        <v>Mid</v>
      </c>
      <c r="N95" t="str">
        <f t="shared" si="5"/>
        <v>Medium (5-14h)</v>
      </c>
      <c r="Q95" s="2"/>
    </row>
    <row r="96" spans="1:17">
      <c r="A96" s="2">
        <v>1095</v>
      </c>
      <c r="B96" s="4" t="s">
        <v>257</v>
      </c>
      <c r="C96" s="2" t="s">
        <v>24</v>
      </c>
      <c r="D96" s="2" t="s">
        <v>25</v>
      </c>
      <c r="E96" s="2" t="s">
        <v>38</v>
      </c>
      <c r="F96" s="2">
        <v>14313</v>
      </c>
      <c r="G96" s="2">
        <v>11</v>
      </c>
      <c r="H96" s="2">
        <v>1</v>
      </c>
      <c r="I96" s="2">
        <v>4</v>
      </c>
      <c r="J96" s="2" t="s">
        <v>169</v>
      </c>
      <c r="K96" s="2" t="s">
        <v>67</v>
      </c>
      <c r="L96">
        <f t="shared" si="3"/>
        <v>0</v>
      </c>
      <c r="M96" t="str">
        <f t="shared" si="4"/>
        <v>High</v>
      </c>
      <c r="N96" t="str">
        <f t="shared" si="5"/>
        <v>Medium (5-14h)</v>
      </c>
      <c r="Q96" s="2"/>
    </row>
    <row r="97" spans="1:17">
      <c r="A97" s="2">
        <v>1096</v>
      </c>
      <c r="B97" s="4" t="s">
        <v>528</v>
      </c>
      <c r="C97" s="2" t="s">
        <v>33</v>
      </c>
      <c r="D97" s="2" t="s">
        <v>49</v>
      </c>
      <c r="E97" s="2" t="s">
        <v>62</v>
      </c>
      <c r="F97" s="2">
        <v>4732</v>
      </c>
      <c r="G97" s="2">
        <v>1</v>
      </c>
      <c r="H97" s="2">
        <v>3</v>
      </c>
      <c r="I97" s="2">
        <v>2</v>
      </c>
      <c r="J97" s="2" t="s">
        <v>67</v>
      </c>
      <c r="K97" s="2" t="s">
        <v>67</v>
      </c>
      <c r="L97">
        <f t="shared" si="3"/>
        <v>0</v>
      </c>
      <c r="M97" t="str">
        <f t="shared" si="4"/>
        <v>Mid</v>
      </c>
      <c r="N97" t="str">
        <f t="shared" si="5"/>
        <v>Low (&lt;5h)</v>
      </c>
      <c r="Q97" s="2"/>
    </row>
    <row r="98" spans="1:17">
      <c r="A98" s="2">
        <v>1097</v>
      </c>
      <c r="B98" s="4" t="s">
        <v>529</v>
      </c>
      <c r="C98" s="2" t="s">
        <v>33</v>
      </c>
      <c r="D98" s="2" t="s">
        <v>49</v>
      </c>
      <c r="E98" s="2" t="s">
        <v>50</v>
      </c>
      <c r="F98" s="2">
        <v>10478</v>
      </c>
      <c r="G98" s="2">
        <v>3</v>
      </c>
      <c r="H98" s="2">
        <v>3</v>
      </c>
      <c r="I98" s="2">
        <v>4</v>
      </c>
      <c r="J98" s="2" t="s">
        <v>169</v>
      </c>
      <c r="K98" s="2" t="s">
        <v>67</v>
      </c>
      <c r="L98">
        <f t="shared" si="3"/>
        <v>0</v>
      </c>
      <c r="M98" t="str">
        <f t="shared" si="4"/>
        <v>High</v>
      </c>
      <c r="N98" t="str">
        <f t="shared" si="5"/>
        <v>Low (&lt;5h)</v>
      </c>
      <c r="Q98" s="2"/>
    </row>
    <row r="99" spans="1:17">
      <c r="A99" s="2">
        <v>1098</v>
      </c>
      <c r="B99" s="4" t="s">
        <v>530</v>
      </c>
      <c r="C99" s="2" t="s">
        <v>101</v>
      </c>
      <c r="D99" s="2" t="s">
        <v>29</v>
      </c>
      <c r="E99" s="2" t="s">
        <v>30</v>
      </c>
      <c r="F99" s="2">
        <v>4080</v>
      </c>
      <c r="G99" s="2">
        <v>5</v>
      </c>
      <c r="H99" s="2">
        <v>2</v>
      </c>
      <c r="I99" s="2">
        <v>4</v>
      </c>
      <c r="J99" s="2" t="s">
        <v>169</v>
      </c>
      <c r="K99" s="2" t="s">
        <v>67</v>
      </c>
      <c r="L99">
        <f t="shared" si="3"/>
        <v>0</v>
      </c>
      <c r="M99" t="str">
        <f t="shared" si="4"/>
        <v>Low</v>
      </c>
      <c r="N99" t="str">
        <f t="shared" si="5"/>
        <v>Medium (5-14h)</v>
      </c>
      <c r="Q99" s="2"/>
    </row>
    <row r="100" spans="1:17">
      <c r="A100" s="2">
        <v>1099</v>
      </c>
      <c r="B100" s="4" t="s">
        <v>531</v>
      </c>
      <c r="C100" s="2" t="s">
        <v>101</v>
      </c>
      <c r="D100" s="2" t="s">
        <v>29</v>
      </c>
      <c r="E100" s="2" t="s">
        <v>102</v>
      </c>
      <c r="F100" s="2">
        <v>3628</v>
      </c>
      <c r="G100" s="2">
        <v>14</v>
      </c>
      <c r="H100" s="2">
        <v>2</v>
      </c>
      <c r="I100" s="2">
        <v>3</v>
      </c>
      <c r="J100" s="2" t="s">
        <v>169</v>
      </c>
      <c r="K100" s="2" t="s">
        <v>67</v>
      </c>
      <c r="L100">
        <f t="shared" si="3"/>
        <v>0</v>
      </c>
      <c r="M100" t="str">
        <f t="shared" si="4"/>
        <v>Low</v>
      </c>
      <c r="N100" t="str">
        <f t="shared" si="5"/>
        <v>Medium (5-14h)</v>
      </c>
      <c r="Q100" s="2"/>
    </row>
    <row r="101" spans="1:17">
      <c r="A101" s="2">
        <v>1100</v>
      </c>
      <c r="B101" s="4" t="s">
        <v>532</v>
      </c>
      <c r="C101" s="2" t="s">
        <v>233</v>
      </c>
      <c r="D101" s="2" t="s">
        <v>49</v>
      </c>
      <c r="E101" s="2" t="s">
        <v>78</v>
      </c>
      <c r="F101" s="2">
        <v>9987</v>
      </c>
      <c r="G101" s="2">
        <v>5</v>
      </c>
      <c r="H101" s="2">
        <v>1</v>
      </c>
      <c r="I101" s="2">
        <v>2</v>
      </c>
      <c r="J101" s="2" t="s">
        <v>67</v>
      </c>
      <c r="K101" s="2" t="s">
        <v>67</v>
      </c>
      <c r="L101">
        <f t="shared" si="3"/>
        <v>0</v>
      </c>
      <c r="M101" t="str">
        <f t="shared" si="4"/>
        <v>High</v>
      </c>
      <c r="N101" t="str">
        <f t="shared" si="5"/>
        <v>Medium (5-14h)</v>
      </c>
      <c r="Q101" s="2"/>
    </row>
    <row r="102" spans="1:17">
      <c r="A102" s="2">
        <v>1101</v>
      </c>
      <c r="B102" s="4" t="s">
        <v>533</v>
      </c>
      <c r="C102" s="2" t="s">
        <v>101</v>
      </c>
      <c r="D102" s="2" t="s">
        <v>29</v>
      </c>
      <c r="E102" s="2" t="s">
        <v>102</v>
      </c>
      <c r="F102" s="2">
        <v>12057</v>
      </c>
      <c r="G102" s="2">
        <v>0</v>
      </c>
      <c r="H102" s="2">
        <v>3</v>
      </c>
      <c r="I102" s="2">
        <v>2</v>
      </c>
      <c r="J102" s="2" t="s">
        <v>67</v>
      </c>
      <c r="K102" s="2" t="s">
        <v>67</v>
      </c>
      <c r="L102">
        <f t="shared" si="3"/>
        <v>0</v>
      </c>
      <c r="M102" t="str">
        <f t="shared" si="4"/>
        <v>High</v>
      </c>
      <c r="N102" t="str">
        <f t="shared" si="5"/>
        <v>Low (&lt;5h)</v>
      </c>
      <c r="Q102" s="2"/>
    </row>
    <row r="103" spans="1:17">
      <c r="A103" s="2">
        <v>1102</v>
      </c>
      <c r="B103" s="4" t="s">
        <v>534</v>
      </c>
      <c r="C103" s="2" t="s">
        <v>233</v>
      </c>
      <c r="D103" s="2" t="s">
        <v>49</v>
      </c>
      <c r="E103" s="2" t="s">
        <v>62</v>
      </c>
      <c r="F103" s="2">
        <v>4355</v>
      </c>
      <c r="G103" s="2">
        <v>1</v>
      </c>
      <c r="H103" s="2">
        <v>2</v>
      </c>
      <c r="I103" s="2">
        <v>3</v>
      </c>
      <c r="J103" s="2" t="s">
        <v>67</v>
      </c>
      <c r="K103" s="2" t="s">
        <v>67</v>
      </c>
      <c r="L103">
        <f t="shared" si="3"/>
        <v>0</v>
      </c>
      <c r="M103" t="str">
        <f t="shared" si="4"/>
        <v>Low</v>
      </c>
      <c r="N103" t="str">
        <f t="shared" si="5"/>
        <v>Low (&lt;5h)</v>
      </c>
      <c r="Q103" s="2"/>
    </row>
    <row r="104" spans="1:17">
      <c r="A104" s="2">
        <v>1103</v>
      </c>
      <c r="B104" s="4" t="s">
        <v>535</v>
      </c>
      <c r="C104" s="2" t="s">
        <v>12</v>
      </c>
      <c r="D104" s="2" t="s">
        <v>13</v>
      </c>
      <c r="E104" s="2" t="s">
        <v>14</v>
      </c>
      <c r="F104" s="2">
        <v>5605</v>
      </c>
      <c r="G104" s="2">
        <v>11</v>
      </c>
      <c r="H104" s="2">
        <v>2</v>
      </c>
      <c r="I104" s="2">
        <v>3</v>
      </c>
      <c r="J104" s="2" t="s">
        <v>169</v>
      </c>
      <c r="K104" s="2" t="s">
        <v>67</v>
      </c>
      <c r="L104">
        <f t="shared" si="3"/>
        <v>0</v>
      </c>
      <c r="M104" t="str">
        <f t="shared" si="4"/>
        <v>Mid</v>
      </c>
      <c r="N104" t="str">
        <f t="shared" si="5"/>
        <v>Medium (5-14h)</v>
      </c>
      <c r="Q104" s="2"/>
    </row>
    <row r="105" spans="1:17">
      <c r="A105" s="2">
        <v>1104</v>
      </c>
      <c r="B105" s="4" t="s">
        <v>250</v>
      </c>
      <c r="C105" s="2" t="s">
        <v>83</v>
      </c>
      <c r="D105" s="2" t="s">
        <v>56</v>
      </c>
      <c r="E105" s="2" t="s">
        <v>57</v>
      </c>
      <c r="F105" s="2">
        <v>4810</v>
      </c>
      <c r="G105" s="2">
        <v>7</v>
      </c>
      <c r="H105" s="2">
        <v>2</v>
      </c>
      <c r="I105" s="2">
        <v>4</v>
      </c>
      <c r="J105" s="2" t="s">
        <v>169</v>
      </c>
      <c r="K105" s="2" t="s">
        <v>67</v>
      </c>
      <c r="L105">
        <f t="shared" si="3"/>
        <v>0</v>
      </c>
      <c r="M105" t="str">
        <f t="shared" si="4"/>
        <v>Mid</v>
      </c>
      <c r="N105" t="str">
        <f t="shared" si="5"/>
        <v>Medium (5-14h)</v>
      </c>
      <c r="Q105" s="2"/>
    </row>
    <row r="106" spans="1:17">
      <c r="A106" s="2">
        <v>1105</v>
      </c>
      <c r="B106" s="4" t="s">
        <v>536</v>
      </c>
      <c r="C106" s="2" t="s">
        <v>233</v>
      </c>
      <c r="D106" s="2" t="s">
        <v>49</v>
      </c>
      <c r="E106" s="2" t="s">
        <v>62</v>
      </c>
      <c r="F106" s="2">
        <v>13770</v>
      </c>
      <c r="G106" s="2">
        <v>5</v>
      </c>
      <c r="H106" s="2">
        <v>4</v>
      </c>
      <c r="I106" s="2">
        <v>4</v>
      </c>
      <c r="J106" s="2" t="s">
        <v>169</v>
      </c>
      <c r="K106" s="2" t="s">
        <v>67</v>
      </c>
      <c r="L106">
        <f t="shared" si="3"/>
        <v>0</v>
      </c>
      <c r="M106" t="str">
        <f t="shared" si="4"/>
        <v>High</v>
      </c>
      <c r="N106" t="str">
        <f t="shared" si="5"/>
        <v>Medium (5-14h)</v>
      </c>
      <c r="Q106" s="2"/>
    </row>
    <row r="107" spans="1:17">
      <c r="A107" s="2">
        <v>1106</v>
      </c>
      <c r="B107" s="4" t="s">
        <v>537</v>
      </c>
      <c r="C107" s="2" t="s">
        <v>33</v>
      </c>
      <c r="D107" s="2" t="s">
        <v>19</v>
      </c>
      <c r="E107" s="2" t="s">
        <v>112</v>
      </c>
      <c r="F107" s="2">
        <v>7899</v>
      </c>
      <c r="G107" s="2">
        <v>10</v>
      </c>
      <c r="H107" s="2">
        <v>3</v>
      </c>
      <c r="I107" s="2">
        <v>1</v>
      </c>
      <c r="J107" s="2" t="s">
        <v>67</v>
      </c>
      <c r="K107" s="2" t="s">
        <v>67</v>
      </c>
      <c r="L107">
        <f t="shared" si="3"/>
        <v>0</v>
      </c>
      <c r="M107" t="str">
        <f t="shared" si="4"/>
        <v>Mid</v>
      </c>
      <c r="N107" t="str">
        <f t="shared" si="5"/>
        <v>Medium (5-14h)</v>
      </c>
      <c r="Q107" s="2"/>
    </row>
    <row r="108" spans="1:17">
      <c r="A108" s="2">
        <v>1107</v>
      </c>
      <c r="B108" s="4" t="s">
        <v>538</v>
      </c>
      <c r="C108" s="2" t="s">
        <v>233</v>
      </c>
      <c r="D108" s="2" t="s">
        <v>49</v>
      </c>
      <c r="E108" s="2" t="s">
        <v>78</v>
      </c>
      <c r="F108" s="2">
        <v>10992</v>
      </c>
      <c r="G108" s="2">
        <v>13</v>
      </c>
      <c r="H108" s="2">
        <v>2</v>
      </c>
      <c r="I108" s="2">
        <v>2</v>
      </c>
      <c r="J108" s="2" t="s">
        <v>67</v>
      </c>
      <c r="K108" s="2" t="s">
        <v>67</v>
      </c>
      <c r="L108">
        <f t="shared" si="3"/>
        <v>0</v>
      </c>
      <c r="M108" t="str">
        <f t="shared" si="4"/>
        <v>High</v>
      </c>
      <c r="N108" t="str">
        <f t="shared" si="5"/>
        <v>Medium (5-14h)</v>
      </c>
      <c r="Q108" s="2"/>
    </row>
    <row r="109" spans="1:17">
      <c r="A109" s="2">
        <v>1108</v>
      </c>
      <c r="B109" s="4" t="s">
        <v>539</v>
      </c>
      <c r="C109" s="2" t="s">
        <v>101</v>
      </c>
      <c r="D109" s="2" t="s">
        <v>29</v>
      </c>
      <c r="E109" s="2" t="s">
        <v>102</v>
      </c>
      <c r="F109" s="2">
        <v>8279</v>
      </c>
      <c r="G109" s="2">
        <v>7</v>
      </c>
      <c r="H109" s="2">
        <v>1</v>
      </c>
      <c r="I109" s="2">
        <v>3</v>
      </c>
      <c r="J109" s="2" t="s">
        <v>169</v>
      </c>
      <c r="K109" s="2" t="s">
        <v>169</v>
      </c>
      <c r="L109">
        <f t="shared" si="3"/>
        <v>1</v>
      </c>
      <c r="M109" t="str">
        <f t="shared" si="4"/>
        <v>Mid</v>
      </c>
      <c r="N109" t="str">
        <f t="shared" si="5"/>
        <v>Medium (5-14h)</v>
      </c>
      <c r="Q109" s="2"/>
    </row>
    <row r="110" spans="1:17">
      <c r="A110" s="2">
        <v>1109</v>
      </c>
      <c r="B110" s="4" t="s">
        <v>231</v>
      </c>
      <c r="C110" s="2" t="s">
        <v>24</v>
      </c>
      <c r="D110" s="2" t="s">
        <v>25</v>
      </c>
      <c r="E110" s="2" t="s">
        <v>148</v>
      </c>
      <c r="F110" s="2">
        <v>4111</v>
      </c>
      <c r="G110" s="2">
        <v>3</v>
      </c>
      <c r="H110" s="2">
        <v>3</v>
      </c>
      <c r="I110" s="2">
        <v>4</v>
      </c>
      <c r="J110" s="2" t="s">
        <v>169</v>
      </c>
      <c r="K110" s="2" t="s">
        <v>67</v>
      </c>
      <c r="L110">
        <f t="shared" si="3"/>
        <v>0</v>
      </c>
      <c r="M110" t="str">
        <f t="shared" si="4"/>
        <v>Low</v>
      </c>
      <c r="N110" t="str">
        <f t="shared" si="5"/>
        <v>Low (&lt;5h)</v>
      </c>
      <c r="Q110" s="2"/>
    </row>
    <row r="111" spans="1:17">
      <c r="A111" s="2">
        <v>1110</v>
      </c>
      <c r="B111" s="4" t="s">
        <v>540</v>
      </c>
      <c r="C111" s="2" t="s">
        <v>24</v>
      </c>
      <c r="D111" s="2" t="s">
        <v>25</v>
      </c>
      <c r="E111" s="2" t="s">
        <v>148</v>
      </c>
      <c r="F111" s="2">
        <v>3596</v>
      </c>
      <c r="G111" s="2">
        <v>5</v>
      </c>
      <c r="H111" s="2">
        <v>1</v>
      </c>
      <c r="I111" s="2">
        <v>4</v>
      </c>
      <c r="J111" s="2" t="s">
        <v>67</v>
      </c>
      <c r="K111" s="2" t="s">
        <v>67</v>
      </c>
      <c r="L111">
        <f t="shared" si="3"/>
        <v>0</v>
      </c>
      <c r="M111" t="str">
        <f t="shared" si="4"/>
        <v>Low</v>
      </c>
      <c r="N111" t="str">
        <f t="shared" si="5"/>
        <v>Medium (5-14h)</v>
      </c>
      <c r="Q111" s="2"/>
    </row>
    <row r="112" spans="1:17">
      <c r="A112" s="2">
        <v>1111</v>
      </c>
      <c r="B112" s="4" t="s">
        <v>541</v>
      </c>
      <c r="C112" s="2" t="s">
        <v>33</v>
      </c>
      <c r="D112" s="2" t="s">
        <v>19</v>
      </c>
      <c r="E112" s="2" t="s">
        <v>20</v>
      </c>
      <c r="F112" s="2">
        <v>7010</v>
      </c>
      <c r="G112" s="2">
        <v>19</v>
      </c>
      <c r="H112" s="2">
        <v>1</v>
      </c>
      <c r="I112" s="2">
        <v>4</v>
      </c>
      <c r="J112" s="2" t="s">
        <v>169</v>
      </c>
      <c r="K112" s="2" t="s">
        <v>169</v>
      </c>
      <c r="L112">
        <f t="shared" si="3"/>
        <v>1</v>
      </c>
      <c r="M112" t="str">
        <f t="shared" si="4"/>
        <v>Mid</v>
      </c>
      <c r="N112" t="str">
        <f t="shared" si="5"/>
        <v>High (15h+)</v>
      </c>
      <c r="Q112" s="2"/>
    </row>
    <row r="113" spans="1:17">
      <c r="A113" s="2">
        <v>1112</v>
      </c>
      <c r="B113" s="4" t="s">
        <v>542</v>
      </c>
      <c r="C113" s="2" t="s">
        <v>83</v>
      </c>
      <c r="D113" s="2" t="s">
        <v>56</v>
      </c>
      <c r="E113" s="2" t="s">
        <v>59</v>
      </c>
      <c r="F113" s="2">
        <v>7866</v>
      </c>
      <c r="G113" s="2">
        <v>3</v>
      </c>
      <c r="H113" s="2">
        <v>3</v>
      </c>
      <c r="I113" s="2">
        <v>4</v>
      </c>
      <c r="J113" s="2" t="s">
        <v>169</v>
      </c>
      <c r="K113" s="2" t="s">
        <v>169</v>
      </c>
      <c r="L113">
        <f t="shared" si="3"/>
        <v>1</v>
      </c>
      <c r="M113" t="str">
        <f t="shared" si="4"/>
        <v>Mid</v>
      </c>
      <c r="N113" t="str">
        <f t="shared" si="5"/>
        <v>Low (&lt;5h)</v>
      </c>
      <c r="Q113" s="2"/>
    </row>
    <row r="114" spans="1:17">
      <c r="A114" s="2">
        <v>1113</v>
      </c>
      <c r="B114" s="4" t="s">
        <v>543</v>
      </c>
      <c r="C114" s="2" t="s">
        <v>33</v>
      </c>
      <c r="D114" s="2" t="s">
        <v>19</v>
      </c>
      <c r="E114" s="2" t="s">
        <v>20</v>
      </c>
      <c r="F114" s="2">
        <v>5246</v>
      </c>
      <c r="G114" s="2">
        <v>17</v>
      </c>
      <c r="H114" s="2">
        <v>2</v>
      </c>
      <c r="I114" s="2">
        <v>3</v>
      </c>
      <c r="J114" s="2" t="s">
        <v>67</v>
      </c>
      <c r="K114" s="2" t="s">
        <v>169</v>
      </c>
      <c r="L114">
        <f t="shared" si="3"/>
        <v>1</v>
      </c>
      <c r="M114" t="str">
        <f t="shared" si="4"/>
        <v>Mid</v>
      </c>
      <c r="N114" t="str">
        <f t="shared" si="5"/>
        <v>High (15h+)</v>
      </c>
      <c r="Q114" s="2"/>
    </row>
    <row r="115" spans="1:17">
      <c r="A115" s="2">
        <v>1114</v>
      </c>
      <c r="B115" s="4" t="s">
        <v>544</v>
      </c>
      <c r="C115" s="2" t="s">
        <v>12</v>
      </c>
      <c r="D115" s="2" t="s">
        <v>13</v>
      </c>
      <c r="E115" s="2" t="s">
        <v>14</v>
      </c>
      <c r="F115" s="2">
        <v>13074</v>
      </c>
      <c r="G115" s="2">
        <v>1</v>
      </c>
      <c r="H115" s="2">
        <v>4</v>
      </c>
      <c r="I115" s="2">
        <v>2</v>
      </c>
      <c r="J115" s="2" t="s">
        <v>169</v>
      </c>
      <c r="K115" s="2" t="s">
        <v>67</v>
      </c>
      <c r="L115">
        <f t="shared" si="3"/>
        <v>0</v>
      </c>
      <c r="M115" t="str">
        <f t="shared" si="4"/>
        <v>High</v>
      </c>
      <c r="N115" t="str">
        <f t="shared" si="5"/>
        <v>Low (&lt;5h)</v>
      </c>
      <c r="Q115" s="2"/>
    </row>
    <row r="116" spans="1:17">
      <c r="A116" s="2">
        <v>1115</v>
      </c>
      <c r="B116" s="4" t="s">
        <v>545</v>
      </c>
      <c r="C116" s="2" t="s">
        <v>33</v>
      </c>
      <c r="D116" s="2" t="s">
        <v>49</v>
      </c>
      <c r="E116" s="2" t="s">
        <v>62</v>
      </c>
      <c r="F116" s="2">
        <v>12798</v>
      </c>
      <c r="G116" s="2">
        <v>2</v>
      </c>
      <c r="H116" s="2">
        <v>3</v>
      </c>
      <c r="I116" s="2">
        <v>2</v>
      </c>
      <c r="J116" s="2" t="s">
        <v>67</v>
      </c>
      <c r="K116" s="2" t="s">
        <v>67</v>
      </c>
      <c r="L116">
        <f t="shared" si="3"/>
        <v>0</v>
      </c>
      <c r="M116" t="str">
        <f t="shared" si="4"/>
        <v>High</v>
      </c>
      <c r="N116" t="str">
        <f t="shared" si="5"/>
        <v>Low (&lt;5h)</v>
      </c>
      <c r="Q116" s="2"/>
    </row>
    <row r="117" spans="1:17">
      <c r="A117" s="2">
        <v>1116</v>
      </c>
      <c r="B117" s="4" t="s">
        <v>546</v>
      </c>
      <c r="C117" s="2" t="s">
        <v>24</v>
      </c>
      <c r="D117" s="2" t="s">
        <v>25</v>
      </c>
      <c r="E117" s="2" t="s">
        <v>26</v>
      </c>
      <c r="F117" s="2">
        <v>13986</v>
      </c>
      <c r="G117" s="2">
        <v>4</v>
      </c>
      <c r="H117" s="2">
        <v>3</v>
      </c>
      <c r="I117" s="2">
        <v>4</v>
      </c>
      <c r="J117" s="2" t="s">
        <v>169</v>
      </c>
      <c r="K117" s="2" t="s">
        <v>67</v>
      </c>
      <c r="L117">
        <f t="shared" si="3"/>
        <v>0</v>
      </c>
      <c r="M117" t="str">
        <f t="shared" si="4"/>
        <v>High</v>
      </c>
      <c r="N117" t="str">
        <f t="shared" si="5"/>
        <v>Low (&lt;5h)</v>
      </c>
      <c r="Q117" s="2"/>
    </row>
    <row r="118" spans="1:17">
      <c r="A118" s="2">
        <v>1117</v>
      </c>
      <c r="B118" s="4" t="s">
        <v>547</v>
      </c>
      <c r="C118" s="2" t="s">
        <v>12</v>
      </c>
      <c r="D118" s="2" t="s">
        <v>13</v>
      </c>
      <c r="E118" s="2" t="s">
        <v>155</v>
      </c>
      <c r="F118" s="2">
        <v>5732</v>
      </c>
      <c r="G118" s="2">
        <v>9</v>
      </c>
      <c r="H118" s="2">
        <v>3</v>
      </c>
      <c r="I118" s="2">
        <v>4</v>
      </c>
      <c r="J118" s="2" t="s">
        <v>169</v>
      </c>
      <c r="K118" s="2" t="s">
        <v>67</v>
      </c>
      <c r="L118">
        <f t="shared" si="3"/>
        <v>0</v>
      </c>
      <c r="M118" t="str">
        <f t="shared" si="4"/>
        <v>Mid</v>
      </c>
      <c r="N118" t="str">
        <f t="shared" si="5"/>
        <v>Medium (5-14h)</v>
      </c>
      <c r="Q118" s="2"/>
    </row>
    <row r="119" spans="1:17">
      <c r="A119" s="2">
        <v>1118</v>
      </c>
      <c r="B119" s="4" t="s">
        <v>548</v>
      </c>
      <c r="C119" s="2" t="s">
        <v>12</v>
      </c>
      <c r="D119" s="2" t="s">
        <v>13</v>
      </c>
      <c r="E119" s="2" t="s">
        <v>14</v>
      </c>
      <c r="F119" s="2">
        <v>7422</v>
      </c>
      <c r="G119" s="2">
        <v>15</v>
      </c>
      <c r="H119" s="2">
        <v>1</v>
      </c>
      <c r="I119" s="2">
        <v>4</v>
      </c>
      <c r="J119" s="2" t="s">
        <v>67</v>
      </c>
      <c r="K119" s="2" t="s">
        <v>169</v>
      </c>
      <c r="L119">
        <f t="shared" si="3"/>
        <v>1</v>
      </c>
      <c r="M119" t="str">
        <f t="shared" si="4"/>
        <v>Mid</v>
      </c>
      <c r="N119" t="str">
        <f t="shared" si="5"/>
        <v>High (15h+)</v>
      </c>
      <c r="Q119" s="2"/>
    </row>
    <row r="120" spans="1:17">
      <c r="A120" s="2">
        <v>1119</v>
      </c>
      <c r="B120" s="4" t="s">
        <v>549</v>
      </c>
      <c r="C120" s="2" t="s">
        <v>83</v>
      </c>
      <c r="D120" s="2" t="s">
        <v>56</v>
      </c>
      <c r="E120" s="2" t="s">
        <v>85</v>
      </c>
      <c r="F120" s="2">
        <v>12971</v>
      </c>
      <c r="G120" s="2">
        <v>10</v>
      </c>
      <c r="H120" s="2">
        <v>1</v>
      </c>
      <c r="I120" s="2">
        <v>2</v>
      </c>
      <c r="J120" s="2" t="s">
        <v>67</v>
      </c>
      <c r="K120" s="2" t="s">
        <v>169</v>
      </c>
      <c r="L120">
        <f t="shared" si="3"/>
        <v>1</v>
      </c>
      <c r="M120" t="str">
        <f t="shared" si="4"/>
        <v>High</v>
      </c>
      <c r="N120" t="str">
        <f t="shared" si="5"/>
        <v>Medium (5-14h)</v>
      </c>
      <c r="Q120" s="2"/>
    </row>
    <row r="121" spans="1:17">
      <c r="A121" s="2">
        <v>1120</v>
      </c>
      <c r="B121" s="4" t="s">
        <v>550</v>
      </c>
      <c r="C121" s="2" t="s">
        <v>83</v>
      </c>
      <c r="D121" s="2" t="s">
        <v>56</v>
      </c>
      <c r="E121" s="2" t="s">
        <v>59</v>
      </c>
      <c r="F121" s="2">
        <v>11697</v>
      </c>
      <c r="G121" s="2">
        <v>0</v>
      </c>
      <c r="H121" s="2">
        <v>3</v>
      </c>
      <c r="I121" s="2">
        <v>4</v>
      </c>
      <c r="J121" s="2" t="s">
        <v>67</v>
      </c>
      <c r="K121" s="2" t="s">
        <v>67</v>
      </c>
      <c r="L121">
        <f t="shared" si="3"/>
        <v>0</v>
      </c>
      <c r="M121" t="str">
        <f t="shared" si="4"/>
        <v>High</v>
      </c>
      <c r="N121" t="str">
        <f t="shared" si="5"/>
        <v>Low (&lt;5h)</v>
      </c>
      <c r="Q121" s="2"/>
    </row>
    <row r="122" spans="1:17">
      <c r="A122" s="2">
        <v>1121</v>
      </c>
      <c r="B122" s="4" t="s">
        <v>281</v>
      </c>
      <c r="C122" s="2" t="s">
        <v>83</v>
      </c>
      <c r="D122" s="2" t="s">
        <v>56</v>
      </c>
      <c r="E122" s="2" t="s">
        <v>57</v>
      </c>
      <c r="F122" s="2">
        <v>9046</v>
      </c>
      <c r="G122" s="2">
        <v>0</v>
      </c>
      <c r="H122" s="2">
        <v>3</v>
      </c>
      <c r="I122" s="2">
        <v>4</v>
      </c>
      <c r="J122" s="2" t="s">
        <v>169</v>
      </c>
      <c r="K122" s="2" t="s">
        <v>67</v>
      </c>
      <c r="L122">
        <f t="shared" si="3"/>
        <v>0</v>
      </c>
      <c r="M122" t="str">
        <f t="shared" si="4"/>
        <v>High</v>
      </c>
      <c r="N122" t="str">
        <f t="shared" si="5"/>
        <v>Low (&lt;5h)</v>
      </c>
      <c r="Q122" s="2"/>
    </row>
    <row r="123" spans="1:17">
      <c r="A123" s="2">
        <v>1122</v>
      </c>
      <c r="B123" s="4" t="s">
        <v>43</v>
      </c>
      <c r="C123" s="2" t="s">
        <v>12</v>
      </c>
      <c r="D123" s="2" t="s">
        <v>13</v>
      </c>
      <c r="E123" s="2" t="s">
        <v>44</v>
      </c>
      <c r="F123" s="2">
        <v>3091</v>
      </c>
      <c r="G123" s="2">
        <v>17</v>
      </c>
      <c r="H123" s="2">
        <v>1</v>
      </c>
      <c r="I123" s="2">
        <v>3</v>
      </c>
      <c r="J123" s="2" t="s">
        <v>169</v>
      </c>
      <c r="K123" s="2" t="s">
        <v>169</v>
      </c>
      <c r="L123">
        <f t="shared" si="3"/>
        <v>1</v>
      </c>
      <c r="M123" t="str">
        <f t="shared" si="4"/>
        <v>Low</v>
      </c>
      <c r="N123" t="str">
        <f t="shared" si="5"/>
        <v>High (15h+)</v>
      </c>
      <c r="Q123" s="2"/>
    </row>
    <row r="124" spans="1:17">
      <c r="A124" s="2">
        <v>1123</v>
      </c>
      <c r="B124" s="4" t="s">
        <v>304</v>
      </c>
      <c r="C124" s="2" t="s">
        <v>12</v>
      </c>
      <c r="D124" s="2" t="s">
        <v>13</v>
      </c>
      <c r="E124" s="2" t="s">
        <v>44</v>
      </c>
      <c r="F124" s="2">
        <v>13419</v>
      </c>
      <c r="G124" s="2">
        <v>4</v>
      </c>
      <c r="H124" s="2">
        <v>2</v>
      </c>
      <c r="I124" s="2">
        <v>2</v>
      </c>
      <c r="J124" s="2" t="s">
        <v>67</v>
      </c>
      <c r="K124" s="2" t="s">
        <v>169</v>
      </c>
      <c r="L124">
        <f t="shared" si="3"/>
        <v>1</v>
      </c>
      <c r="M124" t="str">
        <f t="shared" si="4"/>
        <v>High</v>
      </c>
      <c r="N124" t="str">
        <f t="shared" si="5"/>
        <v>Low (&lt;5h)</v>
      </c>
      <c r="Q124" s="2"/>
    </row>
    <row r="125" spans="1:17">
      <c r="A125" s="2">
        <v>1124</v>
      </c>
      <c r="B125" s="4" t="s">
        <v>311</v>
      </c>
      <c r="C125" s="2" t="s">
        <v>12</v>
      </c>
      <c r="D125" s="2" t="s">
        <v>13</v>
      </c>
      <c r="E125" s="2" t="s">
        <v>155</v>
      </c>
      <c r="F125" s="2">
        <v>3866</v>
      </c>
      <c r="G125" s="2">
        <v>5</v>
      </c>
      <c r="H125" s="2">
        <v>3</v>
      </c>
      <c r="I125" s="2">
        <v>3</v>
      </c>
      <c r="J125" s="2" t="s">
        <v>169</v>
      </c>
      <c r="K125" s="2" t="s">
        <v>67</v>
      </c>
      <c r="L125">
        <f t="shared" si="3"/>
        <v>0</v>
      </c>
      <c r="M125" t="str">
        <f t="shared" si="4"/>
        <v>Low</v>
      </c>
      <c r="N125" t="str">
        <f t="shared" si="5"/>
        <v>Medium (5-14h)</v>
      </c>
      <c r="Q125" s="2"/>
    </row>
    <row r="126" spans="1:17">
      <c r="A126" s="2">
        <v>1125</v>
      </c>
      <c r="B126" s="4" t="s">
        <v>551</v>
      </c>
      <c r="C126" s="2" t="s">
        <v>83</v>
      </c>
      <c r="D126" s="2" t="s">
        <v>56</v>
      </c>
      <c r="E126" s="2" t="s">
        <v>59</v>
      </c>
      <c r="F126" s="2">
        <v>14121</v>
      </c>
      <c r="G126" s="2">
        <v>7</v>
      </c>
      <c r="H126" s="2">
        <v>2</v>
      </c>
      <c r="I126" s="2">
        <v>2</v>
      </c>
      <c r="J126" s="2" t="s">
        <v>169</v>
      </c>
      <c r="K126" s="2" t="s">
        <v>67</v>
      </c>
      <c r="L126">
        <f t="shared" si="3"/>
        <v>0</v>
      </c>
      <c r="M126" t="str">
        <f t="shared" si="4"/>
        <v>High</v>
      </c>
      <c r="N126" t="str">
        <f t="shared" si="5"/>
        <v>Medium (5-14h)</v>
      </c>
      <c r="Q126" s="2"/>
    </row>
    <row r="127" spans="1:17">
      <c r="A127" s="2">
        <v>1126</v>
      </c>
      <c r="B127" s="4" t="s">
        <v>339</v>
      </c>
      <c r="C127" s="2" t="s">
        <v>33</v>
      </c>
      <c r="D127" s="2" t="s">
        <v>25</v>
      </c>
      <c r="E127" s="2" t="s">
        <v>38</v>
      </c>
      <c r="F127" s="2">
        <v>3653</v>
      </c>
      <c r="G127" s="2">
        <v>0</v>
      </c>
      <c r="H127" s="2">
        <v>2</v>
      </c>
      <c r="I127" s="2">
        <v>4</v>
      </c>
      <c r="J127" s="2" t="s">
        <v>67</v>
      </c>
      <c r="K127" s="2" t="s">
        <v>67</v>
      </c>
      <c r="L127">
        <f t="shared" si="3"/>
        <v>0</v>
      </c>
      <c r="M127" t="str">
        <f t="shared" si="4"/>
        <v>Low</v>
      </c>
      <c r="N127" t="str">
        <f t="shared" si="5"/>
        <v>Low (&lt;5h)</v>
      </c>
      <c r="Q127" s="2"/>
    </row>
    <row r="128" spans="1:17">
      <c r="A128" s="2">
        <v>1127</v>
      </c>
      <c r="B128" s="4" t="s">
        <v>552</v>
      </c>
      <c r="C128" s="2" t="s">
        <v>33</v>
      </c>
      <c r="D128" s="2" t="s">
        <v>13</v>
      </c>
      <c r="E128" s="2" t="s">
        <v>44</v>
      </c>
      <c r="F128" s="2">
        <v>6085</v>
      </c>
      <c r="G128" s="2">
        <v>5</v>
      </c>
      <c r="H128" s="2">
        <v>3</v>
      </c>
      <c r="I128" s="2">
        <v>4</v>
      </c>
      <c r="J128" s="2" t="s">
        <v>169</v>
      </c>
      <c r="K128" s="2" t="s">
        <v>67</v>
      </c>
      <c r="L128">
        <f t="shared" si="3"/>
        <v>0</v>
      </c>
      <c r="M128" t="str">
        <f t="shared" si="4"/>
        <v>Mid</v>
      </c>
      <c r="N128" t="str">
        <f t="shared" si="5"/>
        <v>Medium (5-14h)</v>
      </c>
      <c r="Q128" s="2"/>
    </row>
    <row r="129" spans="1:17">
      <c r="A129" s="2">
        <v>1128</v>
      </c>
      <c r="B129" s="4" t="s">
        <v>415</v>
      </c>
      <c r="C129" s="2" t="s">
        <v>233</v>
      </c>
      <c r="D129" s="2" t="s">
        <v>49</v>
      </c>
      <c r="E129" s="2" t="s">
        <v>78</v>
      </c>
      <c r="F129" s="2">
        <v>11556</v>
      </c>
      <c r="G129" s="2">
        <v>0</v>
      </c>
      <c r="H129" s="2">
        <v>4</v>
      </c>
      <c r="I129" s="2">
        <v>4</v>
      </c>
      <c r="J129" s="2" t="s">
        <v>169</v>
      </c>
      <c r="K129" s="2" t="s">
        <v>67</v>
      </c>
      <c r="L129">
        <f t="shared" si="3"/>
        <v>0</v>
      </c>
      <c r="M129" t="str">
        <f t="shared" si="4"/>
        <v>High</v>
      </c>
      <c r="N129" t="str">
        <f t="shared" si="5"/>
        <v>Low (&lt;5h)</v>
      </c>
      <c r="Q129" s="2"/>
    </row>
    <row r="130" spans="1:17">
      <c r="A130" s="2">
        <v>1129</v>
      </c>
      <c r="B130" s="4" t="s">
        <v>27</v>
      </c>
      <c r="C130" s="2" t="s">
        <v>101</v>
      </c>
      <c r="D130" s="2" t="s">
        <v>29</v>
      </c>
      <c r="E130" s="2" t="s">
        <v>30</v>
      </c>
      <c r="F130" s="2">
        <v>7871</v>
      </c>
      <c r="G130" s="2">
        <v>12</v>
      </c>
      <c r="H130" s="2">
        <v>3</v>
      </c>
      <c r="I130" s="2">
        <v>4</v>
      </c>
      <c r="J130" s="2" t="s">
        <v>169</v>
      </c>
      <c r="K130" s="2" t="s">
        <v>67</v>
      </c>
      <c r="L130">
        <f t="shared" si="3"/>
        <v>0</v>
      </c>
      <c r="M130" t="str">
        <f t="shared" si="4"/>
        <v>Mid</v>
      </c>
      <c r="N130" t="str">
        <f t="shared" si="5"/>
        <v>Medium (5-14h)</v>
      </c>
      <c r="Q130" s="2"/>
    </row>
    <row r="131" spans="1:17">
      <c r="A131" s="2">
        <v>1130</v>
      </c>
      <c r="B131" s="4" t="s">
        <v>553</v>
      </c>
      <c r="C131" s="2" t="s">
        <v>12</v>
      </c>
      <c r="D131" s="2" t="s">
        <v>13</v>
      </c>
      <c r="E131" s="2" t="s">
        <v>155</v>
      </c>
      <c r="F131" s="2">
        <v>6085</v>
      </c>
      <c r="G131" s="2">
        <v>5</v>
      </c>
      <c r="H131" s="2">
        <v>3</v>
      </c>
      <c r="I131" s="2">
        <v>3</v>
      </c>
      <c r="J131" s="2" t="s">
        <v>67</v>
      </c>
      <c r="K131" s="2" t="s">
        <v>67</v>
      </c>
      <c r="L131">
        <f t="shared" ref="L131:L194" si="6">IF(K131="YES",1,0)</f>
        <v>0</v>
      </c>
      <c r="M131" t="str">
        <f t="shared" ref="M131:M194" si="7">IF(F131&lt;4500,"Low",IF(F131&lt;9000,"Mid","High"))</f>
        <v>Mid</v>
      </c>
      <c r="N131" t="str">
        <f t="shared" ref="N131:N194" si="8">IF(G131&lt;5,"Low (&lt;5h)",IF(G131&lt;15,"Medium (5-14h)","High (15h+)"))</f>
        <v>Medium (5-14h)</v>
      </c>
      <c r="Q131" s="2"/>
    </row>
    <row r="132" spans="1:17">
      <c r="A132" s="2">
        <v>1131</v>
      </c>
      <c r="B132" s="4" t="s">
        <v>554</v>
      </c>
      <c r="C132" s="2" t="s">
        <v>33</v>
      </c>
      <c r="D132" s="2" t="s">
        <v>25</v>
      </c>
      <c r="E132" s="2" t="s">
        <v>38</v>
      </c>
      <c r="F132" s="2">
        <v>7686</v>
      </c>
      <c r="G132" s="2">
        <v>11</v>
      </c>
      <c r="H132" s="2">
        <v>2</v>
      </c>
      <c r="I132" s="2">
        <v>1</v>
      </c>
      <c r="J132" s="2" t="s">
        <v>67</v>
      </c>
      <c r="K132" s="2" t="s">
        <v>67</v>
      </c>
      <c r="L132">
        <f t="shared" si="6"/>
        <v>0</v>
      </c>
      <c r="M132" t="str">
        <f t="shared" si="7"/>
        <v>Mid</v>
      </c>
      <c r="N132" t="str">
        <f t="shared" si="8"/>
        <v>Medium (5-14h)</v>
      </c>
      <c r="Q132" s="2"/>
    </row>
    <row r="133" spans="1:17">
      <c r="A133" s="2">
        <v>1132</v>
      </c>
      <c r="B133" s="4" t="s">
        <v>555</v>
      </c>
      <c r="C133" s="2" t="s">
        <v>12</v>
      </c>
      <c r="D133" s="2" t="s">
        <v>13</v>
      </c>
      <c r="E133" s="2" t="s">
        <v>44</v>
      </c>
      <c r="F133" s="2">
        <v>5241</v>
      </c>
      <c r="G133" s="2">
        <v>0</v>
      </c>
      <c r="H133" s="2">
        <v>2</v>
      </c>
      <c r="I133" s="2">
        <v>2</v>
      </c>
      <c r="J133" s="2" t="s">
        <v>169</v>
      </c>
      <c r="K133" s="2" t="s">
        <v>67</v>
      </c>
      <c r="L133">
        <f t="shared" si="6"/>
        <v>0</v>
      </c>
      <c r="M133" t="str">
        <f t="shared" si="7"/>
        <v>Mid</v>
      </c>
      <c r="N133" t="str">
        <f t="shared" si="8"/>
        <v>Low (&lt;5h)</v>
      </c>
      <c r="Q133" s="2"/>
    </row>
    <row r="134" spans="1:17">
      <c r="A134" s="2">
        <v>1133</v>
      </c>
      <c r="B134" s="4" t="s">
        <v>556</v>
      </c>
      <c r="C134" s="2" t="s">
        <v>101</v>
      </c>
      <c r="D134" s="2" t="s">
        <v>29</v>
      </c>
      <c r="E134" s="2" t="s">
        <v>30</v>
      </c>
      <c r="F134" s="2">
        <v>14087</v>
      </c>
      <c r="G134" s="2">
        <v>7</v>
      </c>
      <c r="H134" s="2">
        <v>2</v>
      </c>
      <c r="I134" s="2">
        <v>4</v>
      </c>
      <c r="J134" s="2" t="s">
        <v>67</v>
      </c>
      <c r="K134" s="2" t="s">
        <v>169</v>
      </c>
      <c r="L134">
        <f t="shared" si="6"/>
        <v>1</v>
      </c>
      <c r="M134" t="str">
        <f t="shared" si="7"/>
        <v>High</v>
      </c>
      <c r="N134" t="str">
        <f t="shared" si="8"/>
        <v>Medium (5-14h)</v>
      </c>
      <c r="Q134" s="2"/>
    </row>
    <row r="135" spans="1:17">
      <c r="A135" s="2">
        <v>1134</v>
      </c>
      <c r="B135" s="4" t="s">
        <v>557</v>
      </c>
      <c r="C135" s="2" t="s">
        <v>83</v>
      </c>
      <c r="D135" s="2" t="s">
        <v>56</v>
      </c>
      <c r="E135" s="2" t="s">
        <v>57</v>
      </c>
      <c r="F135" s="2">
        <v>12497</v>
      </c>
      <c r="G135" s="2">
        <v>5</v>
      </c>
      <c r="H135" s="2">
        <v>4</v>
      </c>
      <c r="I135" s="2">
        <v>4</v>
      </c>
      <c r="J135" s="2" t="s">
        <v>169</v>
      </c>
      <c r="K135" s="2" t="s">
        <v>67</v>
      </c>
      <c r="L135">
        <f t="shared" si="6"/>
        <v>0</v>
      </c>
      <c r="M135" t="str">
        <f t="shared" si="7"/>
        <v>High</v>
      </c>
      <c r="N135" t="str">
        <f t="shared" si="8"/>
        <v>Medium (5-14h)</v>
      </c>
      <c r="Q135" s="2"/>
    </row>
    <row r="136" spans="1:17">
      <c r="A136" s="2">
        <v>1135</v>
      </c>
      <c r="B136" s="4" t="s">
        <v>213</v>
      </c>
      <c r="C136" s="2" t="s">
        <v>101</v>
      </c>
      <c r="D136" s="2" t="s">
        <v>29</v>
      </c>
      <c r="E136" s="2" t="s">
        <v>30</v>
      </c>
      <c r="F136" s="2">
        <v>6061</v>
      </c>
      <c r="G136" s="2">
        <v>9</v>
      </c>
      <c r="H136" s="2">
        <v>3</v>
      </c>
      <c r="I136" s="2">
        <v>4</v>
      </c>
      <c r="J136" s="2" t="s">
        <v>169</v>
      </c>
      <c r="K136" s="2" t="s">
        <v>67</v>
      </c>
      <c r="L136">
        <f t="shared" si="6"/>
        <v>0</v>
      </c>
      <c r="M136" t="str">
        <f t="shared" si="7"/>
        <v>Mid</v>
      </c>
      <c r="N136" t="str">
        <f t="shared" si="8"/>
        <v>Medium (5-14h)</v>
      </c>
      <c r="Q136" s="2"/>
    </row>
    <row r="137" spans="1:17">
      <c r="A137" s="2">
        <v>1136</v>
      </c>
      <c r="B137" s="4" t="s">
        <v>54</v>
      </c>
      <c r="C137" s="2" t="s">
        <v>83</v>
      </c>
      <c r="D137" s="2" t="s">
        <v>56</v>
      </c>
      <c r="E137" s="2" t="s">
        <v>57</v>
      </c>
      <c r="F137" s="2">
        <v>6602</v>
      </c>
      <c r="G137" s="2">
        <v>6</v>
      </c>
      <c r="H137" s="2">
        <v>2</v>
      </c>
      <c r="I137" s="2">
        <v>3</v>
      </c>
      <c r="J137" s="2" t="s">
        <v>67</v>
      </c>
      <c r="K137" s="2" t="s">
        <v>169</v>
      </c>
      <c r="L137">
        <f t="shared" si="6"/>
        <v>1</v>
      </c>
      <c r="M137" t="str">
        <f t="shared" si="7"/>
        <v>Mid</v>
      </c>
      <c r="N137" t="str">
        <f t="shared" si="8"/>
        <v>Medium (5-14h)</v>
      </c>
      <c r="Q137" s="2"/>
    </row>
    <row r="138" spans="1:17">
      <c r="A138" s="2">
        <v>1137</v>
      </c>
      <c r="B138" s="4" t="s">
        <v>411</v>
      </c>
      <c r="C138" s="2" t="s">
        <v>12</v>
      </c>
      <c r="D138" s="2" t="s">
        <v>13</v>
      </c>
      <c r="E138" s="2" t="s">
        <v>14</v>
      </c>
      <c r="F138" s="2">
        <v>3067</v>
      </c>
      <c r="G138" s="2">
        <v>19</v>
      </c>
      <c r="H138" s="2">
        <v>1</v>
      </c>
      <c r="I138" s="2">
        <v>2</v>
      </c>
      <c r="J138" s="2" t="s">
        <v>169</v>
      </c>
      <c r="K138" s="2" t="s">
        <v>67</v>
      </c>
      <c r="L138">
        <f t="shared" si="6"/>
        <v>0</v>
      </c>
      <c r="M138" t="str">
        <f t="shared" si="7"/>
        <v>Low</v>
      </c>
      <c r="N138" t="str">
        <f t="shared" si="8"/>
        <v>High (15h+)</v>
      </c>
      <c r="Q138" s="2"/>
    </row>
    <row r="139" spans="1:17">
      <c r="A139" s="2">
        <v>1138</v>
      </c>
      <c r="B139" s="4" t="s">
        <v>558</v>
      </c>
      <c r="C139" s="2" t="s">
        <v>33</v>
      </c>
      <c r="D139" s="2" t="s">
        <v>49</v>
      </c>
      <c r="E139" s="2" t="s">
        <v>78</v>
      </c>
      <c r="F139" s="2">
        <v>6473</v>
      </c>
      <c r="G139" s="2">
        <v>4</v>
      </c>
      <c r="H139" s="2">
        <v>3</v>
      </c>
      <c r="I139" s="2">
        <v>4</v>
      </c>
      <c r="J139" s="2" t="s">
        <v>67</v>
      </c>
      <c r="K139" s="2" t="s">
        <v>67</v>
      </c>
      <c r="L139">
        <f t="shared" si="6"/>
        <v>0</v>
      </c>
      <c r="M139" t="str">
        <f t="shared" si="7"/>
        <v>Mid</v>
      </c>
      <c r="N139" t="str">
        <f t="shared" si="8"/>
        <v>Low (&lt;5h)</v>
      </c>
      <c r="Q139" s="2"/>
    </row>
    <row r="140" spans="1:17">
      <c r="A140" s="2">
        <v>1139</v>
      </c>
      <c r="B140" s="4" t="s">
        <v>342</v>
      </c>
      <c r="C140" s="2" t="s">
        <v>233</v>
      </c>
      <c r="D140" s="2" t="s">
        <v>49</v>
      </c>
      <c r="E140" s="2" t="s">
        <v>62</v>
      </c>
      <c r="F140" s="2">
        <v>4453</v>
      </c>
      <c r="G140" s="2">
        <v>17</v>
      </c>
      <c r="H140" s="2">
        <v>2</v>
      </c>
      <c r="I140" s="2">
        <v>2</v>
      </c>
      <c r="J140" s="2" t="s">
        <v>67</v>
      </c>
      <c r="K140" s="2" t="s">
        <v>169</v>
      </c>
      <c r="L140">
        <f t="shared" si="6"/>
        <v>1</v>
      </c>
      <c r="M140" t="str">
        <f t="shared" si="7"/>
        <v>Low</v>
      </c>
      <c r="N140" t="str">
        <f t="shared" si="8"/>
        <v>High (15h+)</v>
      </c>
      <c r="Q140" s="2"/>
    </row>
    <row r="141" spans="1:17">
      <c r="A141" s="2">
        <v>1140</v>
      </c>
      <c r="B141" s="4" t="s">
        <v>559</v>
      </c>
      <c r="C141" s="2" t="s">
        <v>83</v>
      </c>
      <c r="D141" s="2" t="s">
        <v>56</v>
      </c>
      <c r="E141" s="2" t="s">
        <v>59</v>
      </c>
      <c r="F141" s="2">
        <v>8979</v>
      </c>
      <c r="G141" s="2">
        <v>7</v>
      </c>
      <c r="H141" s="2">
        <v>3</v>
      </c>
      <c r="I141" s="2">
        <v>4</v>
      </c>
      <c r="J141" s="2" t="s">
        <v>67</v>
      </c>
      <c r="K141" s="2" t="s">
        <v>169</v>
      </c>
      <c r="L141">
        <f t="shared" si="6"/>
        <v>1</v>
      </c>
      <c r="M141" t="str">
        <f t="shared" si="7"/>
        <v>Mid</v>
      </c>
      <c r="N141" t="str">
        <f t="shared" si="8"/>
        <v>Medium (5-14h)</v>
      </c>
      <c r="Q141" s="2"/>
    </row>
    <row r="142" spans="1:17">
      <c r="A142" s="2">
        <v>1141</v>
      </c>
      <c r="B142" s="4" t="s">
        <v>560</v>
      </c>
      <c r="C142" s="2" t="s">
        <v>12</v>
      </c>
      <c r="D142" s="2" t="s">
        <v>13</v>
      </c>
      <c r="E142" s="2" t="s">
        <v>14</v>
      </c>
      <c r="F142" s="2">
        <v>4181</v>
      </c>
      <c r="G142" s="2">
        <v>11</v>
      </c>
      <c r="H142" s="2">
        <v>2</v>
      </c>
      <c r="I142" s="2">
        <v>3</v>
      </c>
      <c r="J142" s="2" t="s">
        <v>67</v>
      </c>
      <c r="K142" s="2" t="s">
        <v>67</v>
      </c>
      <c r="L142">
        <f t="shared" si="6"/>
        <v>0</v>
      </c>
      <c r="M142" t="str">
        <f t="shared" si="7"/>
        <v>Low</v>
      </c>
      <c r="N142" t="str">
        <f t="shared" si="8"/>
        <v>Medium (5-14h)</v>
      </c>
      <c r="Q142" s="2"/>
    </row>
    <row r="143" spans="1:17">
      <c r="A143" s="2">
        <v>1142</v>
      </c>
      <c r="B143" s="4" t="s">
        <v>561</v>
      </c>
      <c r="C143" s="2" t="s">
        <v>24</v>
      </c>
      <c r="D143" s="2" t="s">
        <v>25</v>
      </c>
      <c r="E143" s="2" t="s">
        <v>26</v>
      </c>
      <c r="F143" s="2">
        <v>7869</v>
      </c>
      <c r="G143" s="2">
        <v>0</v>
      </c>
      <c r="H143" s="2">
        <v>4</v>
      </c>
      <c r="I143" s="2">
        <v>4</v>
      </c>
      <c r="J143" s="2" t="s">
        <v>169</v>
      </c>
      <c r="K143" s="2" t="s">
        <v>67</v>
      </c>
      <c r="L143">
        <f t="shared" si="6"/>
        <v>0</v>
      </c>
      <c r="M143" t="str">
        <f t="shared" si="7"/>
        <v>Mid</v>
      </c>
      <c r="N143" t="str">
        <f t="shared" si="8"/>
        <v>Low (&lt;5h)</v>
      </c>
      <c r="Q143" s="2"/>
    </row>
    <row r="144" spans="1:17">
      <c r="A144" s="2">
        <v>1143</v>
      </c>
      <c r="B144" s="4" t="s">
        <v>370</v>
      </c>
      <c r="C144" s="2" t="s">
        <v>83</v>
      </c>
      <c r="D144" s="2" t="s">
        <v>56</v>
      </c>
      <c r="E144" s="2" t="s">
        <v>57</v>
      </c>
      <c r="F144" s="2">
        <v>9216</v>
      </c>
      <c r="G144" s="2">
        <v>0</v>
      </c>
      <c r="H144" s="2">
        <v>3</v>
      </c>
      <c r="I144" s="2">
        <v>4</v>
      </c>
      <c r="J144" s="2" t="s">
        <v>169</v>
      </c>
      <c r="K144" s="2" t="s">
        <v>67</v>
      </c>
      <c r="L144">
        <f t="shared" si="6"/>
        <v>0</v>
      </c>
      <c r="M144" t="str">
        <f t="shared" si="7"/>
        <v>High</v>
      </c>
      <c r="N144" t="str">
        <f t="shared" si="8"/>
        <v>Low (&lt;5h)</v>
      </c>
      <c r="Q144" s="2"/>
    </row>
    <row r="145" spans="1:17">
      <c r="A145" s="2">
        <v>1144</v>
      </c>
      <c r="B145" s="4" t="s">
        <v>516</v>
      </c>
      <c r="C145" s="2" t="s">
        <v>83</v>
      </c>
      <c r="D145" s="2" t="s">
        <v>56</v>
      </c>
      <c r="E145" s="2" t="s">
        <v>57</v>
      </c>
      <c r="F145" s="2">
        <v>9263</v>
      </c>
      <c r="G145" s="2">
        <v>18</v>
      </c>
      <c r="H145" s="2">
        <v>2</v>
      </c>
      <c r="I145" s="2">
        <v>4</v>
      </c>
      <c r="J145" s="2" t="s">
        <v>67</v>
      </c>
      <c r="K145" s="2" t="s">
        <v>67</v>
      </c>
      <c r="L145">
        <f t="shared" si="6"/>
        <v>0</v>
      </c>
      <c r="M145" t="str">
        <f t="shared" si="7"/>
        <v>High</v>
      </c>
      <c r="N145" t="str">
        <f t="shared" si="8"/>
        <v>High (15h+)</v>
      </c>
      <c r="Q145" s="2"/>
    </row>
    <row r="146" spans="1:17">
      <c r="A146" s="2">
        <v>1145</v>
      </c>
      <c r="B146" s="4" t="s">
        <v>431</v>
      </c>
      <c r="C146" s="2" t="s">
        <v>33</v>
      </c>
      <c r="D146" s="2" t="s">
        <v>49</v>
      </c>
      <c r="E146" s="2" t="s">
        <v>62</v>
      </c>
      <c r="F146" s="2">
        <v>4970</v>
      </c>
      <c r="G146" s="2">
        <v>13</v>
      </c>
      <c r="H146" s="2">
        <v>3</v>
      </c>
      <c r="I146" s="2">
        <v>4</v>
      </c>
      <c r="J146" s="2" t="s">
        <v>169</v>
      </c>
      <c r="K146" s="2" t="s">
        <v>67</v>
      </c>
      <c r="L146">
        <f t="shared" si="6"/>
        <v>0</v>
      </c>
      <c r="M146" t="str">
        <f t="shared" si="7"/>
        <v>Mid</v>
      </c>
      <c r="N146" t="str">
        <f t="shared" si="8"/>
        <v>Medium (5-14h)</v>
      </c>
      <c r="Q146" s="2"/>
    </row>
    <row r="147" spans="1:17">
      <c r="A147" s="2">
        <v>1146</v>
      </c>
      <c r="B147" s="4" t="s">
        <v>562</v>
      </c>
      <c r="C147" s="2" t="s">
        <v>83</v>
      </c>
      <c r="D147" s="2" t="s">
        <v>56</v>
      </c>
      <c r="E147" s="2" t="s">
        <v>57</v>
      </c>
      <c r="F147" s="2">
        <v>13875</v>
      </c>
      <c r="G147" s="2">
        <v>15</v>
      </c>
      <c r="H147" s="2">
        <v>1</v>
      </c>
      <c r="I147" s="2">
        <v>1</v>
      </c>
      <c r="J147" s="2" t="s">
        <v>67</v>
      </c>
      <c r="K147" s="2" t="s">
        <v>169</v>
      </c>
      <c r="L147">
        <f t="shared" si="6"/>
        <v>1</v>
      </c>
      <c r="M147" t="str">
        <f t="shared" si="7"/>
        <v>High</v>
      </c>
      <c r="N147" t="str">
        <f t="shared" si="8"/>
        <v>High (15h+)</v>
      </c>
      <c r="Q147" s="2"/>
    </row>
    <row r="148" spans="1:17">
      <c r="A148" s="2">
        <v>1147</v>
      </c>
      <c r="B148" s="4" t="s">
        <v>563</v>
      </c>
      <c r="C148" s="2" t="s">
        <v>33</v>
      </c>
      <c r="D148" s="2" t="s">
        <v>19</v>
      </c>
      <c r="E148" s="2" t="s">
        <v>34</v>
      </c>
      <c r="F148" s="2">
        <v>6573</v>
      </c>
      <c r="G148" s="2">
        <v>10</v>
      </c>
      <c r="H148" s="2">
        <v>1</v>
      </c>
      <c r="I148" s="2">
        <v>4</v>
      </c>
      <c r="J148" s="2" t="s">
        <v>67</v>
      </c>
      <c r="K148" s="2" t="s">
        <v>67</v>
      </c>
      <c r="L148">
        <f t="shared" si="6"/>
        <v>0</v>
      </c>
      <c r="M148" t="str">
        <f t="shared" si="7"/>
        <v>Mid</v>
      </c>
      <c r="N148" t="str">
        <f t="shared" si="8"/>
        <v>Medium (5-14h)</v>
      </c>
      <c r="Q148" s="2"/>
    </row>
    <row r="149" spans="1:17">
      <c r="A149" s="2">
        <v>1148</v>
      </c>
      <c r="B149" s="4" t="s">
        <v>564</v>
      </c>
      <c r="C149" s="2" t="s">
        <v>12</v>
      </c>
      <c r="D149" s="2" t="s">
        <v>13</v>
      </c>
      <c r="E149" s="2" t="s">
        <v>14</v>
      </c>
      <c r="F149" s="2">
        <v>4991</v>
      </c>
      <c r="G149" s="2">
        <v>18</v>
      </c>
      <c r="H149" s="2">
        <v>1</v>
      </c>
      <c r="I149" s="2">
        <v>4</v>
      </c>
      <c r="J149" s="2" t="s">
        <v>67</v>
      </c>
      <c r="K149" s="2" t="s">
        <v>169</v>
      </c>
      <c r="L149">
        <f t="shared" si="6"/>
        <v>1</v>
      </c>
      <c r="M149" t="str">
        <f t="shared" si="7"/>
        <v>Mid</v>
      </c>
      <c r="N149" t="str">
        <f t="shared" si="8"/>
        <v>High (15h+)</v>
      </c>
      <c r="Q149" s="2"/>
    </row>
    <row r="150" spans="1:17">
      <c r="A150" s="2">
        <v>1149</v>
      </c>
      <c r="B150" s="4" t="s">
        <v>565</v>
      </c>
      <c r="C150" s="2" t="s">
        <v>83</v>
      </c>
      <c r="D150" s="2" t="s">
        <v>56</v>
      </c>
      <c r="E150" s="2" t="s">
        <v>85</v>
      </c>
      <c r="F150" s="2">
        <v>8598</v>
      </c>
      <c r="G150" s="2">
        <v>8</v>
      </c>
      <c r="H150" s="2">
        <v>4</v>
      </c>
      <c r="I150" s="2">
        <v>3</v>
      </c>
      <c r="J150" s="2" t="s">
        <v>67</v>
      </c>
      <c r="K150" s="2" t="s">
        <v>67</v>
      </c>
      <c r="L150">
        <f t="shared" si="6"/>
        <v>0</v>
      </c>
      <c r="M150" t="str">
        <f t="shared" si="7"/>
        <v>Mid</v>
      </c>
      <c r="N150" t="str">
        <f t="shared" si="8"/>
        <v>Medium (5-14h)</v>
      </c>
      <c r="Q150" s="2"/>
    </row>
    <row r="151" spans="1:17">
      <c r="A151" s="2">
        <v>1150</v>
      </c>
      <c r="B151" s="4" t="s">
        <v>284</v>
      </c>
      <c r="C151" s="2" t="s">
        <v>233</v>
      </c>
      <c r="D151" s="2" t="s">
        <v>49</v>
      </c>
      <c r="E151" s="2" t="s">
        <v>50</v>
      </c>
      <c r="F151" s="2">
        <v>4902</v>
      </c>
      <c r="G151" s="2">
        <v>8</v>
      </c>
      <c r="H151" s="2">
        <v>4</v>
      </c>
      <c r="I151" s="2">
        <v>3</v>
      </c>
      <c r="J151" s="2" t="s">
        <v>169</v>
      </c>
      <c r="K151" s="2" t="s">
        <v>67</v>
      </c>
      <c r="L151">
        <f t="shared" si="6"/>
        <v>0</v>
      </c>
      <c r="M151" t="str">
        <f t="shared" si="7"/>
        <v>Mid</v>
      </c>
      <c r="N151" t="str">
        <f t="shared" si="8"/>
        <v>Medium (5-14h)</v>
      </c>
      <c r="Q151" s="2"/>
    </row>
    <row r="152" spans="1:17">
      <c r="A152" s="2">
        <v>1151</v>
      </c>
      <c r="B152" s="4" t="s">
        <v>566</v>
      </c>
      <c r="C152" s="2" t="s">
        <v>83</v>
      </c>
      <c r="D152" s="2" t="s">
        <v>56</v>
      </c>
      <c r="E152" s="2" t="s">
        <v>57</v>
      </c>
      <c r="F152" s="2">
        <v>3508</v>
      </c>
      <c r="G152" s="2">
        <v>10</v>
      </c>
      <c r="H152" s="2">
        <v>3</v>
      </c>
      <c r="I152" s="2">
        <v>2</v>
      </c>
      <c r="J152" s="2" t="s">
        <v>67</v>
      </c>
      <c r="K152" s="2" t="s">
        <v>169</v>
      </c>
      <c r="L152">
        <f t="shared" si="6"/>
        <v>1</v>
      </c>
      <c r="M152" t="str">
        <f t="shared" si="7"/>
        <v>Low</v>
      </c>
      <c r="N152" t="str">
        <f t="shared" si="8"/>
        <v>Medium (5-14h)</v>
      </c>
      <c r="Q152" s="2"/>
    </row>
    <row r="153" spans="1:17">
      <c r="A153" s="2">
        <v>1152</v>
      </c>
      <c r="B153" s="4" t="s">
        <v>567</v>
      </c>
      <c r="C153" s="2" t="s">
        <v>33</v>
      </c>
      <c r="D153" s="2" t="s">
        <v>13</v>
      </c>
      <c r="E153" s="2" t="s">
        <v>14</v>
      </c>
      <c r="F153" s="2">
        <v>13824</v>
      </c>
      <c r="G153" s="2">
        <v>15</v>
      </c>
      <c r="H153" s="2">
        <v>2</v>
      </c>
      <c r="I153" s="2">
        <v>3</v>
      </c>
      <c r="J153" s="2" t="s">
        <v>67</v>
      </c>
      <c r="K153" s="2" t="s">
        <v>67</v>
      </c>
      <c r="L153">
        <f t="shared" si="6"/>
        <v>0</v>
      </c>
      <c r="M153" t="str">
        <f t="shared" si="7"/>
        <v>High</v>
      </c>
      <c r="N153" t="str">
        <f t="shared" si="8"/>
        <v>High (15h+)</v>
      </c>
      <c r="Q153" s="2"/>
    </row>
    <row r="154" spans="1:17">
      <c r="A154" s="2">
        <v>1153</v>
      </c>
      <c r="B154" s="4" t="s">
        <v>568</v>
      </c>
      <c r="C154" s="2" t="s">
        <v>83</v>
      </c>
      <c r="D154" s="2" t="s">
        <v>56</v>
      </c>
      <c r="E154" s="2" t="s">
        <v>85</v>
      </c>
      <c r="F154" s="2">
        <v>2815</v>
      </c>
      <c r="G154" s="2">
        <v>9</v>
      </c>
      <c r="H154" s="2">
        <v>2</v>
      </c>
      <c r="I154" s="2">
        <v>2</v>
      </c>
      <c r="J154" s="2" t="s">
        <v>67</v>
      </c>
      <c r="K154" s="2" t="s">
        <v>169</v>
      </c>
      <c r="L154">
        <f t="shared" si="6"/>
        <v>1</v>
      </c>
      <c r="M154" t="str">
        <f t="shared" si="7"/>
        <v>Low</v>
      </c>
      <c r="N154" t="str">
        <f t="shared" si="8"/>
        <v>Medium (5-14h)</v>
      </c>
      <c r="Q154" s="2"/>
    </row>
    <row r="155" spans="1:17">
      <c r="A155" s="2">
        <v>1154</v>
      </c>
      <c r="B155" s="4" t="s">
        <v>569</v>
      </c>
      <c r="C155" s="2" t="s">
        <v>83</v>
      </c>
      <c r="D155" s="2" t="s">
        <v>56</v>
      </c>
      <c r="E155" s="2" t="s">
        <v>85</v>
      </c>
      <c r="F155" s="2">
        <v>3286</v>
      </c>
      <c r="G155" s="2">
        <v>8</v>
      </c>
      <c r="H155" s="2">
        <v>3</v>
      </c>
      <c r="I155" s="2">
        <v>3</v>
      </c>
      <c r="J155" s="2" t="s">
        <v>67</v>
      </c>
      <c r="K155" s="2" t="s">
        <v>169</v>
      </c>
      <c r="L155">
        <f t="shared" si="6"/>
        <v>1</v>
      </c>
      <c r="M155" t="str">
        <f t="shared" si="7"/>
        <v>Low</v>
      </c>
      <c r="N155" t="str">
        <f t="shared" si="8"/>
        <v>Medium (5-14h)</v>
      </c>
      <c r="Q155" s="2"/>
    </row>
    <row r="156" spans="1:17">
      <c r="A156" s="2">
        <v>1155</v>
      </c>
      <c r="B156" s="4" t="s">
        <v>570</v>
      </c>
      <c r="C156" s="2" t="s">
        <v>33</v>
      </c>
      <c r="D156" s="2" t="s">
        <v>56</v>
      </c>
      <c r="E156" s="2" t="s">
        <v>59</v>
      </c>
      <c r="F156" s="2">
        <v>11314</v>
      </c>
      <c r="G156" s="2">
        <v>6</v>
      </c>
      <c r="H156" s="2">
        <v>4</v>
      </c>
      <c r="I156" s="2">
        <v>4</v>
      </c>
      <c r="J156" s="2" t="s">
        <v>67</v>
      </c>
      <c r="K156" s="2" t="s">
        <v>169</v>
      </c>
      <c r="L156">
        <f t="shared" si="6"/>
        <v>1</v>
      </c>
      <c r="M156" t="str">
        <f t="shared" si="7"/>
        <v>High</v>
      </c>
      <c r="N156" t="str">
        <f t="shared" si="8"/>
        <v>Medium (5-14h)</v>
      </c>
      <c r="Q156" s="2"/>
    </row>
    <row r="157" spans="1:17">
      <c r="A157" s="2">
        <v>1156</v>
      </c>
      <c r="B157" s="4" t="s">
        <v>362</v>
      </c>
      <c r="C157" s="2" t="s">
        <v>12</v>
      </c>
      <c r="D157" s="2" t="s">
        <v>13</v>
      </c>
      <c r="E157" s="2" t="s">
        <v>14</v>
      </c>
      <c r="F157" s="2">
        <v>12212</v>
      </c>
      <c r="G157" s="2">
        <v>10</v>
      </c>
      <c r="H157" s="2">
        <v>2</v>
      </c>
      <c r="I157" s="2">
        <v>3</v>
      </c>
      <c r="J157" s="2" t="s">
        <v>67</v>
      </c>
      <c r="K157" s="2" t="s">
        <v>169</v>
      </c>
      <c r="L157">
        <f t="shared" si="6"/>
        <v>1</v>
      </c>
      <c r="M157" t="str">
        <f t="shared" si="7"/>
        <v>High</v>
      </c>
      <c r="N157" t="str">
        <f t="shared" si="8"/>
        <v>Medium (5-14h)</v>
      </c>
      <c r="Q157" s="2"/>
    </row>
    <row r="158" spans="1:17">
      <c r="A158" s="2">
        <v>1157</v>
      </c>
      <c r="B158" s="4" t="s">
        <v>571</v>
      </c>
      <c r="C158" s="2" t="s">
        <v>33</v>
      </c>
      <c r="D158" s="2" t="s">
        <v>29</v>
      </c>
      <c r="E158" s="2" t="s">
        <v>102</v>
      </c>
      <c r="F158" s="2">
        <v>13008</v>
      </c>
      <c r="G158" s="2">
        <v>18</v>
      </c>
      <c r="H158" s="2">
        <v>2</v>
      </c>
      <c r="I158" s="2">
        <v>3</v>
      </c>
      <c r="J158" s="2" t="s">
        <v>169</v>
      </c>
      <c r="K158" s="2" t="s">
        <v>67</v>
      </c>
      <c r="L158">
        <f t="shared" si="6"/>
        <v>0</v>
      </c>
      <c r="M158" t="str">
        <f t="shared" si="7"/>
        <v>High</v>
      </c>
      <c r="N158" t="str">
        <f t="shared" si="8"/>
        <v>High (15h+)</v>
      </c>
      <c r="Q158" s="2"/>
    </row>
    <row r="159" spans="1:17">
      <c r="A159" s="2">
        <v>1158</v>
      </c>
      <c r="B159" s="4" t="s">
        <v>572</v>
      </c>
      <c r="C159" s="2" t="s">
        <v>83</v>
      </c>
      <c r="D159" s="2" t="s">
        <v>56</v>
      </c>
      <c r="E159" s="2" t="s">
        <v>59</v>
      </c>
      <c r="F159" s="2">
        <v>4796</v>
      </c>
      <c r="G159" s="2">
        <v>0</v>
      </c>
      <c r="H159" s="2">
        <v>4</v>
      </c>
      <c r="I159" s="2">
        <v>4</v>
      </c>
      <c r="J159" s="2" t="s">
        <v>169</v>
      </c>
      <c r="K159" s="2" t="s">
        <v>67</v>
      </c>
      <c r="L159">
        <f t="shared" si="6"/>
        <v>0</v>
      </c>
      <c r="M159" t="str">
        <f t="shared" si="7"/>
        <v>Mid</v>
      </c>
      <c r="N159" t="str">
        <f t="shared" si="8"/>
        <v>Low (&lt;5h)</v>
      </c>
      <c r="Q159" s="2"/>
    </row>
    <row r="160" spans="1:17">
      <c r="A160" s="2">
        <v>1159</v>
      </c>
      <c r="B160" s="4" t="s">
        <v>365</v>
      </c>
      <c r="C160" s="2" t="s">
        <v>12</v>
      </c>
      <c r="D160" s="2" t="s">
        <v>13</v>
      </c>
      <c r="E160" s="2" t="s">
        <v>155</v>
      </c>
      <c r="F160" s="2">
        <v>8399</v>
      </c>
      <c r="G160" s="2">
        <v>7</v>
      </c>
      <c r="H160" s="2">
        <v>4</v>
      </c>
      <c r="I160" s="2">
        <v>3</v>
      </c>
      <c r="J160" s="2" t="s">
        <v>169</v>
      </c>
      <c r="K160" s="2" t="s">
        <v>67</v>
      </c>
      <c r="L160">
        <f t="shared" si="6"/>
        <v>0</v>
      </c>
      <c r="M160" t="str">
        <f t="shared" si="7"/>
        <v>Mid</v>
      </c>
      <c r="N160" t="str">
        <f t="shared" si="8"/>
        <v>Medium (5-14h)</v>
      </c>
      <c r="Q160" s="2"/>
    </row>
    <row r="161" spans="1:17">
      <c r="A161" s="2">
        <v>1160</v>
      </c>
      <c r="B161" s="4" t="s">
        <v>573</v>
      </c>
      <c r="C161" s="2" t="s">
        <v>101</v>
      </c>
      <c r="D161" s="2" t="s">
        <v>29</v>
      </c>
      <c r="E161" s="2" t="s">
        <v>30</v>
      </c>
      <c r="F161" s="2">
        <v>10089</v>
      </c>
      <c r="G161" s="2">
        <v>9</v>
      </c>
      <c r="H161" s="2">
        <v>4</v>
      </c>
      <c r="I161" s="2">
        <v>4</v>
      </c>
      <c r="J161" s="2" t="s">
        <v>67</v>
      </c>
      <c r="K161" s="2" t="s">
        <v>67</v>
      </c>
      <c r="L161">
        <f t="shared" si="6"/>
        <v>0</v>
      </c>
      <c r="M161" t="str">
        <f t="shared" si="7"/>
        <v>High</v>
      </c>
      <c r="N161" t="str">
        <f t="shared" si="8"/>
        <v>Medium (5-14h)</v>
      </c>
      <c r="Q161" s="2"/>
    </row>
    <row r="162" spans="1:17">
      <c r="A162" s="2">
        <v>1161</v>
      </c>
      <c r="B162" s="4" t="s">
        <v>574</v>
      </c>
      <c r="C162" s="2" t="s">
        <v>83</v>
      </c>
      <c r="D162" s="2" t="s">
        <v>56</v>
      </c>
      <c r="E162" s="2" t="s">
        <v>57</v>
      </c>
      <c r="F162" s="2">
        <v>6960</v>
      </c>
      <c r="G162" s="2">
        <v>3</v>
      </c>
      <c r="H162" s="2">
        <v>2</v>
      </c>
      <c r="I162" s="2">
        <v>1</v>
      </c>
      <c r="J162" s="2" t="s">
        <v>169</v>
      </c>
      <c r="K162" s="2" t="s">
        <v>67</v>
      </c>
      <c r="L162">
        <f t="shared" si="6"/>
        <v>0</v>
      </c>
      <c r="M162" t="str">
        <f t="shared" si="7"/>
        <v>Mid</v>
      </c>
      <c r="N162" t="str">
        <f t="shared" si="8"/>
        <v>Low (&lt;5h)</v>
      </c>
      <c r="Q162" s="2"/>
    </row>
    <row r="163" spans="1:17">
      <c r="A163" s="2">
        <v>1162</v>
      </c>
      <c r="B163" s="4" t="s">
        <v>177</v>
      </c>
      <c r="C163" s="2" t="s">
        <v>24</v>
      </c>
      <c r="D163" s="2" t="s">
        <v>25</v>
      </c>
      <c r="E163" s="2" t="s">
        <v>148</v>
      </c>
      <c r="F163" s="2">
        <v>10529</v>
      </c>
      <c r="G163" s="2">
        <v>1</v>
      </c>
      <c r="H163" s="2">
        <v>2</v>
      </c>
      <c r="I163" s="2">
        <v>2</v>
      </c>
      <c r="J163" s="2" t="s">
        <v>169</v>
      </c>
      <c r="K163" s="2" t="s">
        <v>67</v>
      </c>
      <c r="L163">
        <f t="shared" si="6"/>
        <v>0</v>
      </c>
      <c r="M163" t="str">
        <f t="shared" si="7"/>
        <v>High</v>
      </c>
      <c r="N163" t="str">
        <f t="shared" si="8"/>
        <v>Low (&lt;5h)</v>
      </c>
      <c r="Q163" s="2"/>
    </row>
    <row r="164" spans="1:17">
      <c r="A164" s="2">
        <v>1163</v>
      </c>
      <c r="B164" s="4" t="s">
        <v>191</v>
      </c>
      <c r="C164" s="2" t="s">
        <v>83</v>
      </c>
      <c r="D164" s="2" t="s">
        <v>56</v>
      </c>
      <c r="E164" s="2" t="s">
        <v>59</v>
      </c>
      <c r="F164" s="2">
        <v>6443</v>
      </c>
      <c r="G164" s="2">
        <v>3</v>
      </c>
      <c r="H164" s="2">
        <v>3</v>
      </c>
      <c r="I164" s="2">
        <v>4</v>
      </c>
      <c r="J164" s="2" t="s">
        <v>67</v>
      </c>
      <c r="K164" s="2" t="s">
        <v>67</v>
      </c>
      <c r="L164">
        <f t="shared" si="6"/>
        <v>0</v>
      </c>
      <c r="M164" t="str">
        <f t="shared" si="7"/>
        <v>Mid</v>
      </c>
      <c r="N164" t="str">
        <f t="shared" si="8"/>
        <v>Low (&lt;5h)</v>
      </c>
      <c r="Q164" s="2"/>
    </row>
    <row r="165" spans="1:17">
      <c r="A165" s="2">
        <v>1164</v>
      </c>
      <c r="B165" s="4" t="s">
        <v>575</v>
      </c>
      <c r="C165" s="2" t="s">
        <v>12</v>
      </c>
      <c r="D165" s="2" t="s">
        <v>13</v>
      </c>
      <c r="E165" s="2" t="s">
        <v>44</v>
      </c>
      <c r="F165" s="2">
        <v>7015</v>
      </c>
      <c r="G165" s="2">
        <v>8</v>
      </c>
      <c r="H165" s="2">
        <v>2</v>
      </c>
      <c r="I165" s="2">
        <v>4</v>
      </c>
      <c r="J165" s="2" t="s">
        <v>169</v>
      </c>
      <c r="K165" s="2" t="s">
        <v>67</v>
      </c>
      <c r="L165">
        <f t="shared" si="6"/>
        <v>0</v>
      </c>
      <c r="M165" t="str">
        <f t="shared" si="7"/>
        <v>Mid</v>
      </c>
      <c r="N165" t="str">
        <f t="shared" si="8"/>
        <v>Medium (5-14h)</v>
      </c>
      <c r="Q165" s="2"/>
    </row>
    <row r="166" spans="1:17">
      <c r="A166" s="2">
        <v>1165</v>
      </c>
      <c r="B166" s="4" t="s">
        <v>576</v>
      </c>
      <c r="C166" s="2" t="s">
        <v>24</v>
      </c>
      <c r="D166" s="2" t="s">
        <v>25</v>
      </c>
      <c r="E166" s="2" t="s">
        <v>38</v>
      </c>
      <c r="F166" s="2">
        <v>7472</v>
      </c>
      <c r="G166" s="2">
        <v>4</v>
      </c>
      <c r="H166" s="2">
        <v>2</v>
      </c>
      <c r="I166" s="2">
        <v>3</v>
      </c>
      <c r="J166" s="2" t="s">
        <v>67</v>
      </c>
      <c r="K166" s="2" t="s">
        <v>67</v>
      </c>
      <c r="L166">
        <f t="shared" si="6"/>
        <v>0</v>
      </c>
      <c r="M166" t="str">
        <f t="shared" si="7"/>
        <v>Mid</v>
      </c>
      <c r="N166" t="str">
        <f t="shared" si="8"/>
        <v>Low (&lt;5h)</v>
      </c>
      <c r="Q166" s="2"/>
    </row>
    <row r="167" spans="1:17">
      <c r="A167" s="2">
        <v>1166</v>
      </c>
      <c r="B167" s="4" t="s">
        <v>483</v>
      </c>
      <c r="C167" s="2" t="s">
        <v>233</v>
      </c>
      <c r="D167" s="2" t="s">
        <v>49</v>
      </c>
      <c r="E167" s="2" t="s">
        <v>78</v>
      </c>
      <c r="F167" s="2">
        <v>9467</v>
      </c>
      <c r="G167" s="2">
        <v>9</v>
      </c>
      <c r="H167" s="2">
        <v>2</v>
      </c>
      <c r="I167" s="2">
        <v>4</v>
      </c>
      <c r="J167" s="2" t="s">
        <v>169</v>
      </c>
      <c r="K167" s="2" t="s">
        <v>67</v>
      </c>
      <c r="L167">
        <f t="shared" si="6"/>
        <v>0</v>
      </c>
      <c r="M167" t="str">
        <f t="shared" si="7"/>
        <v>High</v>
      </c>
      <c r="N167" t="str">
        <f t="shared" si="8"/>
        <v>Medium (5-14h)</v>
      </c>
      <c r="Q167" s="2"/>
    </row>
    <row r="168" spans="1:17">
      <c r="A168" s="2">
        <v>1167</v>
      </c>
      <c r="B168" s="4" t="s">
        <v>498</v>
      </c>
      <c r="C168" s="2" t="s">
        <v>12</v>
      </c>
      <c r="D168" s="2" t="s">
        <v>13</v>
      </c>
      <c r="E168" s="2" t="s">
        <v>155</v>
      </c>
      <c r="F168" s="2">
        <v>4114</v>
      </c>
      <c r="G168" s="2">
        <v>2</v>
      </c>
      <c r="H168" s="2">
        <v>3</v>
      </c>
      <c r="I168" s="2">
        <v>3</v>
      </c>
      <c r="J168" s="2" t="s">
        <v>67</v>
      </c>
      <c r="K168" s="2" t="s">
        <v>67</v>
      </c>
      <c r="L168">
        <f t="shared" si="6"/>
        <v>0</v>
      </c>
      <c r="M168" t="str">
        <f t="shared" si="7"/>
        <v>Low</v>
      </c>
      <c r="N168" t="str">
        <f t="shared" si="8"/>
        <v>Low (&lt;5h)</v>
      </c>
      <c r="Q168" s="2"/>
    </row>
    <row r="169" spans="1:17">
      <c r="A169" s="2">
        <v>1168</v>
      </c>
      <c r="B169" s="4" t="s">
        <v>265</v>
      </c>
      <c r="C169" s="2" t="s">
        <v>83</v>
      </c>
      <c r="D169" s="2" t="s">
        <v>56</v>
      </c>
      <c r="E169" s="2" t="s">
        <v>57</v>
      </c>
      <c r="F169" s="2">
        <v>6793</v>
      </c>
      <c r="G169" s="2">
        <v>4</v>
      </c>
      <c r="H169" s="2">
        <v>3</v>
      </c>
      <c r="I169" s="2">
        <v>4</v>
      </c>
      <c r="J169" s="2" t="s">
        <v>169</v>
      </c>
      <c r="K169" s="2" t="s">
        <v>67</v>
      </c>
      <c r="L169">
        <f t="shared" si="6"/>
        <v>0</v>
      </c>
      <c r="M169" t="str">
        <f t="shared" si="7"/>
        <v>Mid</v>
      </c>
      <c r="N169" t="str">
        <f t="shared" si="8"/>
        <v>Low (&lt;5h)</v>
      </c>
      <c r="Q169" s="2"/>
    </row>
    <row r="170" spans="1:17">
      <c r="A170" s="2">
        <v>1169</v>
      </c>
      <c r="B170" s="4" t="s">
        <v>577</v>
      </c>
      <c r="C170" s="2" t="s">
        <v>12</v>
      </c>
      <c r="D170" s="2" t="s">
        <v>13</v>
      </c>
      <c r="E170" s="2" t="s">
        <v>44</v>
      </c>
      <c r="F170" s="2">
        <v>8371</v>
      </c>
      <c r="G170" s="2">
        <v>3</v>
      </c>
      <c r="H170" s="2">
        <v>3</v>
      </c>
      <c r="I170" s="2">
        <v>4</v>
      </c>
      <c r="J170" s="2" t="s">
        <v>169</v>
      </c>
      <c r="K170" s="2" t="s">
        <v>67</v>
      </c>
      <c r="L170">
        <f t="shared" si="6"/>
        <v>0</v>
      </c>
      <c r="M170" t="str">
        <f t="shared" si="7"/>
        <v>Mid</v>
      </c>
      <c r="N170" t="str">
        <f t="shared" si="8"/>
        <v>Low (&lt;5h)</v>
      </c>
      <c r="Q170" s="2"/>
    </row>
    <row r="171" spans="1:17">
      <c r="A171" s="2">
        <v>1170</v>
      </c>
      <c r="B171" s="4" t="s">
        <v>578</v>
      </c>
      <c r="C171" s="2" t="s">
        <v>83</v>
      </c>
      <c r="D171" s="2" t="s">
        <v>56</v>
      </c>
      <c r="E171" s="2" t="s">
        <v>57</v>
      </c>
      <c r="F171" s="2">
        <v>12341</v>
      </c>
      <c r="G171" s="2">
        <v>0</v>
      </c>
      <c r="H171" s="2">
        <v>3</v>
      </c>
      <c r="I171" s="2">
        <v>4</v>
      </c>
      <c r="J171" s="2" t="s">
        <v>169</v>
      </c>
      <c r="K171" s="2" t="s">
        <v>169</v>
      </c>
      <c r="L171">
        <f t="shared" si="6"/>
        <v>1</v>
      </c>
      <c r="M171" t="str">
        <f t="shared" si="7"/>
        <v>High</v>
      </c>
      <c r="N171" t="str">
        <f t="shared" si="8"/>
        <v>Low (&lt;5h)</v>
      </c>
      <c r="Q171" s="2"/>
    </row>
    <row r="172" spans="1:17">
      <c r="A172" s="2">
        <v>1171</v>
      </c>
      <c r="B172" s="4" t="s">
        <v>579</v>
      </c>
      <c r="C172" s="2" t="s">
        <v>33</v>
      </c>
      <c r="D172" s="2" t="s">
        <v>19</v>
      </c>
      <c r="E172" s="2" t="s">
        <v>20</v>
      </c>
      <c r="F172" s="2">
        <v>13709</v>
      </c>
      <c r="G172" s="2">
        <v>13</v>
      </c>
      <c r="H172" s="2">
        <v>1</v>
      </c>
      <c r="I172" s="2">
        <v>4</v>
      </c>
      <c r="J172" s="2" t="s">
        <v>169</v>
      </c>
      <c r="K172" s="2" t="s">
        <v>169</v>
      </c>
      <c r="L172">
        <f t="shared" si="6"/>
        <v>1</v>
      </c>
      <c r="M172" t="str">
        <f t="shared" si="7"/>
        <v>High</v>
      </c>
      <c r="N172" t="str">
        <f t="shared" si="8"/>
        <v>Medium (5-14h)</v>
      </c>
      <c r="Q172" s="2"/>
    </row>
    <row r="173" spans="1:17">
      <c r="A173" s="2">
        <v>1172</v>
      </c>
      <c r="B173" s="4" t="s">
        <v>420</v>
      </c>
      <c r="C173" s="2" t="s">
        <v>101</v>
      </c>
      <c r="D173" s="2" t="s">
        <v>29</v>
      </c>
      <c r="E173" s="2" t="s">
        <v>102</v>
      </c>
      <c r="F173" s="2">
        <v>7035</v>
      </c>
      <c r="G173" s="2">
        <v>2</v>
      </c>
      <c r="H173" s="2">
        <v>2</v>
      </c>
      <c r="I173" s="2">
        <v>2</v>
      </c>
      <c r="J173" s="2" t="s">
        <v>67</v>
      </c>
      <c r="K173" s="2" t="s">
        <v>169</v>
      </c>
      <c r="L173">
        <f t="shared" si="6"/>
        <v>1</v>
      </c>
      <c r="M173" t="str">
        <f t="shared" si="7"/>
        <v>Mid</v>
      </c>
      <c r="N173" t="str">
        <f t="shared" si="8"/>
        <v>Low (&lt;5h)</v>
      </c>
      <c r="Q173" s="2"/>
    </row>
    <row r="174" spans="1:17">
      <c r="A174" s="2">
        <v>1173</v>
      </c>
      <c r="B174" s="4" t="s">
        <v>580</v>
      </c>
      <c r="C174" s="2" t="s">
        <v>12</v>
      </c>
      <c r="D174" s="2" t="s">
        <v>13</v>
      </c>
      <c r="E174" s="2" t="s">
        <v>155</v>
      </c>
      <c r="F174" s="2">
        <v>3875</v>
      </c>
      <c r="G174" s="2">
        <v>4</v>
      </c>
      <c r="H174" s="2">
        <v>4</v>
      </c>
      <c r="I174" s="2">
        <v>4</v>
      </c>
      <c r="J174" s="2" t="s">
        <v>67</v>
      </c>
      <c r="K174" s="2" t="s">
        <v>169</v>
      </c>
      <c r="L174">
        <f t="shared" si="6"/>
        <v>1</v>
      </c>
      <c r="M174" t="str">
        <f t="shared" si="7"/>
        <v>Low</v>
      </c>
      <c r="N174" t="str">
        <f t="shared" si="8"/>
        <v>Low (&lt;5h)</v>
      </c>
      <c r="Q174" s="2"/>
    </row>
    <row r="175" spans="1:17">
      <c r="A175" s="2">
        <v>1174</v>
      </c>
      <c r="B175" s="4" t="s">
        <v>177</v>
      </c>
      <c r="C175" s="2" t="s">
        <v>101</v>
      </c>
      <c r="D175" s="2" t="s">
        <v>29</v>
      </c>
      <c r="E175" s="2" t="s">
        <v>102</v>
      </c>
      <c r="F175" s="2">
        <v>12871</v>
      </c>
      <c r="G175" s="2">
        <v>5</v>
      </c>
      <c r="H175" s="2">
        <v>2</v>
      </c>
      <c r="I175" s="2">
        <v>4</v>
      </c>
      <c r="J175" s="2" t="s">
        <v>169</v>
      </c>
      <c r="K175" s="2" t="s">
        <v>67</v>
      </c>
      <c r="L175">
        <f t="shared" si="6"/>
        <v>0</v>
      </c>
      <c r="M175" t="str">
        <f t="shared" si="7"/>
        <v>High</v>
      </c>
      <c r="N175" t="str">
        <f t="shared" si="8"/>
        <v>Medium (5-14h)</v>
      </c>
      <c r="Q175" s="2"/>
    </row>
    <row r="176" spans="1:17">
      <c r="A176" s="2">
        <v>1175</v>
      </c>
      <c r="B176" s="4" t="s">
        <v>581</v>
      </c>
      <c r="C176" s="2" t="s">
        <v>24</v>
      </c>
      <c r="D176" s="2" t="s">
        <v>25</v>
      </c>
      <c r="E176" s="2" t="s">
        <v>26</v>
      </c>
      <c r="F176" s="2">
        <v>3295</v>
      </c>
      <c r="G176" s="2">
        <v>8</v>
      </c>
      <c r="H176" s="2">
        <v>3</v>
      </c>
      <c r="I176" s="2">
        <v>3</v>
      </c>
      <c r="J176" s="2" t="s">
        <v>169</v>
      </c>
      <c r="K176" s="2" t="s">
        <v>67</v>
      </c>
      <c r="L176">
        <f t="shared" si="6"/>
        <v>0</v>
      </c>
      <c r="M176" t="str">
        <f t="shared" si="7"/>
        <v>Low</v>
      </c>
      <c r="N176" t="str">
        <f t="shared" si="8"/>
        <v>Medium (5-14h)</v>
      </c>
      <c r="Q176" s="2"/>
    </row>
    <row r="177" spans="1:17">
      <c r="A177" s="2">
        <v>1176</v>
      </c>
      <c r="B177" s="4" t="s">
        <v>582</v>
      </c>
      <c r="C177" s="2" t="s">
        <v>12</v>
      </c>
      <c r="D177" s="2" t="s">
        <v>13</v>
      </c>
      <c r="E177" s="2" t="s">
        <v>155</v>
      </c>
      <c r="F177" s="2">
        <v>13233</v>
      </c>
      <c r="G177" s="2">
        <v>10</v>
      </c>
      <c r="H177" s="2">
        <v>3</v>
      </c>
      <c r="I177" s="2">
        <v>4</v>
      </c>
      <c r="J177" s="2" t="s">
        <v>169</v>
      </c>
      <c r="K177" s="2" t="s">
        <v>169</v>
      </c>
      <c r="L177">
        <f t="shared" si="6"/>
        <v>1</v>
      </c>
      <c r="M177" t="str">
        <f t="shared" si="7"/>
        <v>High</v>
      </c>
      <c r="N177" t="str">
        <f t="shared" si="8"/>
        <v>Medium (5-14h)</v>
      </c>
      <c r="Q177" s="2"/>
    </row>
    <row r="178" spans="1:17">
      <c r="A178" s="2">
        <v>1177</v>
      </c>
      <c r="B178" s="4" t="s">
        <v>498</v>
      </c>
      <c r="C178" s="2" t="s">
        <v>12</v>
      </c>
      <c r="D178" s="2" t="s">
        <v>13</v>
      </c>
      <c r="E178" s="2" t="s">
        <v>155</v>
      </c>
      <c r="F178" s="2">
        <v>6726</v>
      </c>
      <c r="G178" s="2">
        <v>12</v>
      </c>
      <c r="H178" s="2">
        <v>2</v>
      </c>
      <c r="I178" s="2">
        <v>1</v>
      </c>
      <c r="J178" s="2" t="s">
        <v>169</v>
      </c>
      <c r="K178" s="2" t="s">
        <v>67</v>
      </c>
      <c r="L178">
        <f t="shared" si="6"/>
        <v>0</v>
      </c>
      <c r="M178" t="str">
        <f t="shared" si="7"/>
        <v>Mid</v>
      </c>
      <c r="N178" t="str">
        <f t="shared" si="8"/>
        <v>Medium (5-14h)</v>
      </c>
      <c r="Q178" s="2"/>
    </row>
    <row r="179" spans="1:17">
      <c r="A179" s="2">
        <v>1178</v>
      </c>
      <c r="B179" s="4" t="s">
        <v>583</v>
      </c>
      <c r="C179" s="2" t="s">
        <v>233</v>
      </c>
      <c r="D179" s="2" t="s">
        <v>49</v>
      </c>
      <c r="E179" s="2" t="s">
        <v>62</v>
      </c>
      <c r="F179" s="2">
        <v>10487</v>
      </c>
      <c r="G179" s="2">
        <v>17</v>
      </c>
      <c r="H179" s="2">
        <v>2</v>
      </c>
      <c r="I179" s="2">
        <v>4</v>
      </c>
      <c r="J179" s="2" t="s">
        <v>67</v>
      </c>
      <c r="K179" s="2" t="s">
        <v>67</v>
      </c>
      <c r="L179">
        <f t="shared" si="6"/>
        <v>0</v>
      </c>
      <c r="M179" t="str">
        <f t="shared" si="7"/>
        <v>High</v>
      </c>
      <c r="N179" t="str">
        <f t="shared" si="8"/>
        <v>High (15h+)</v>
      </c>
      <c r="Q179" s="2"/>
    </row>
    <row r="180" spans="1:17">
      <c r="A180" s="2">
        <v>1179</v>
      </c>
      <c r="B180" s="4" t="s">
        <v>584</v>
      </c>
      <c r="C180" s="2" t="s">
        <v>233</v>
      </c>
      <c r="D180" s="2" t="s">
        <v>49</v>
      </c>
      <c r="E180" s="2" t="s">
        <v>62</v>
      </c>
      <c r="F180" s="2">
        <v>8581</v>
      </c>
      <c r="G180" s="2">
        <v>4</v>
      </c>
      <c r="H180" s="2">
        <v>4</v>
      </c>
      <c r="I180" s="2">
        <v>4</v>
      </c>
      <c r="J180" s="2" t="s">
        <v>169</v>
      </c>
      <c r="K180" s="2" t="s">
        <v>67</v>
      </c>
      <c r="L180">
        <f t="shared" si="6"/>
        <v>0</v>
      </c>
      <c r="M180" t="str">
        <f t="shared" si="7"/>
        <v>Mid</v>
      </c>
      <c r="N180" t="str">
        <f t="shared" si="8"/>
        <v>Low (&lt;5h)</v>
      </c>
      <c r="Q180" s="2"/>
    </row>
    <row r="181" spans="1:17">
      <c r="A181" s="2">
        <v>1180</v>
      </c>
      <c r="B181" s="4" t="s">
        <v>585</v>
      </c>
      <c r="C181" s="2" t="s">
        <v>24</v>
      </c>
      <c r="D181" s="2" t="s">
        <v>25</v>
      </c>
      <c r="E181" s="2" t="s">
        <v>26</v>
      </c>
      <c r="F181" s="2">
        <v>5078</v>
      </c>
      <c r="G181" s="2">
        <v>11</v>
      </c>
      <c r="H181" s="2">
        <v>3</v>
      </c>
      <c r="I181" s="2">
        <v>4</v>
      </c>
      <c r="J181" s="2" t="s">
        <v>67</v>
      </c>
      <c r="K181" s="2" t="s">
        <v>67</v>
      </c>
      <c r="L181">
        <f t="shared" si="6"/>
        <v>0</v>
      </c>
      <c r="M181" t="str">
        <f t="shared" si="7"/>
        <v>Mid</v>
      </c>
      <c r="N181" t="str">
        <f t="shared" si="8"/>
        <v>Medium (5-14h)</v>
      </c>
      <c r="Q181" s="2"/>
    </row>
    <row r="182" spans="1:17">
      <c r="A182" s="2">
        <v>1181</v>
      </c>
      <c r="B182" s="4" t="s">
        <v>586</v>
      </c>
      <c r="C182" s="2" t="s">
        <v>24</v>
      </c>
      <c r="D182" s="2" t="s">
        <v>25</v>
      </c>
      <c r="E182" s="2" t="s">
        <v>26</v>
      </c>
      <c r="F182" s="2">
        <v>13286</v>
      </c>
      <c r="G182" s="2">
        <v>0</v>
      </c>
      <c r="H182" s="2">
        <v>4</v>
      </c>
      <c r="I182" s="2">
        <v>4</v>
      </c>
      <c r="J182" s="2" t="s">
        <v>169</v>
      </c>
      <c r="K182" s="2" t="s">
        <v>67</v>
      </c>
      <c r="L182">
        <f t="shared" si="6"/>
        <v>0</v>
      </c>
      <c r="M182" t="str">
        <f t="shared" si="7"/>
        <v>High</v>
      </c>
      <c r="N182" t="str">
        <f t="shared" si="8"/>
        <v>Low (&lt;5h)</v>
      </c>
      <c r="Q182" s="2"/>
    </row>
    <row r="183" spans="1:17">
      <c r="A183" s="2">
        <v>1182</v>
      </c>
      <c r="B183" s="4" t="s">
        <v>422</v>
      </c>
      <c r="C183" s="2" t="s">
        <v>83</v>
      </c>
      <c r="D183" s="2" t="s">
        <v>56</v>
      </c>
      <c r="E183" s="2" t="s">
        <v>59</v>
      </c>
      <c r="F183" s="2">
        <v>12112</v>
      </c>
      <c r="G183" s="2">
        <v>14</v>
      </c>
      <c r="H183" s="2">
        <v>1</v>
      </c>
      <c r="I183" s="2">
        <v>3</v>
      </c>
      <c r="J183" s="2" t="s">
        <v>67</v>
      </c>
      <c r="K183" s="2" t="s">
        <v>67</v>
      </c>
      <c r="L183">
        <f t="shared" si="6"/>
        <v>0</v>
      </c>
      <c r="M183" t="str">
        <f t="shared" si="7"/>
        <v>High</v>
      </c>
      <c r="N183" t="str">
        <f t="shared" si="8"/>
        <v>Medium (5-14h)</v>
      </c>
      <c r="Q183" s="2"/>
    </row>
    <row r="184" spans="1:17">
      <c r="A184" s="2">
        <v>1183</v>
      </c>
      <c r="B184" s="4" t="s">
        <v>587</v>
      </c>
      <c r="C184" s="2" t="s">
        <v>33</v>
      </c>
      <c r="D184" s="2" t="s">
        <v>49</v>
      </c>
      <c r="E184" s="2" t="s">
        <v>62</v>
      </c>
      <c r="F184" s="2">
        <v>5860</v>
      </c>
      <c r="G184" s="2">
        <v>0</v>
      </c>
      <c r="H184" s="2">
        <v>1</v>
      </c>
      <c r="I184" s="2">
        <v>3</v>
      </c>
      <c r="J184" s="2" t="s">
        <v>67</v>
      </c>
      <c r="K184" s="2" t="s">
        <v>169</v>
      </c>
      <c r="L184">
        <f t="shared" si="6"/>
        <v>1</v>
      </c>
      <c r="M184" t="str">
        <f t="shared" si="7"/>
        <v>Mid</v>
      </c>
      <c r="N184" t="str">
        <f t="shared" si="8"/>
        <v>Low (&lt;5h)</v>
      </c>
      <c r="Q184" s="2"/>
    </row>
    <row r="185" spans="1:17">
      <c r="A185" s="2">
        <v>1184</v>
      </c>
      <c r="B185" s="4" t="s">
        <v>416</v>
      </c>
      <c r="C185" s="2" t="s">
        <v>33</v>
      </c>
      <c r="D185" s="2" t="s">
        <v>29</v>
      </c>
      <c r="E185" s="2" t="s">
        <v>30</v>
      </c>
      <c r="F185" s="2">
        <v>11168</v>
      </c>
      <c r="G185" s="2">
        <v>8</v>
      </c>
      <c r="H185" s="2">
        <v>3</v>
      </c>
      <c r="I185" s="2">
        <v>2</v>
      </c>
      <c r="J185" s="2" t="s">
        <v>169</v>
      </c>
      <c r="K185" s="2" t="s">
        <v>67</v>
      </c>
      <c r="L185">
        <f t="shared" si="6"/>
        <v>0</v>
      </c>
      <c r="M185" t="str">
        <f t="shared" si="7"/>
        <v>High</v>
      </c>
      <c r="N185" t="str">
        <f t="shared" si="8"/>
        <v>Medium (5-14h)</v>
      </c>
      <c r="Q185" s="2"/>
    </row>
    <row r="186" spans="1:17">
      <c r="A186" s="2">
        <v>1185</v>
      </c>
      <c r="B186" s="4" t="s">
        <v>588</v>
      </c>
      <c r="C186" s="2" t="s">
        <v>24</v>
      </c>
      <c r="D186" s="2" t="s">
        <v>25</v>
      </c>
      <c r="E186" s="2" t="s">
        <v>148</v>
      </c>
      <c r="F186" s="2">
        <v>5674</v>
      </c>
      <c r="G186" s="2">
        <v>8</v>
      </c>
      <c r="H186" s="2">
        <v>4</v>
      </c>
      <c r="I186" s="2">
        <v>3</v>
      </c>
      <c r="J186" s="2" t="s">
        <v>67</v>
      </c>
      <c r="K186" s="2" t="s">
        <v>67</v>
      </c>
      <c r="L186">
        <f t="shared" si="6"/>
        <v>0</v>
      </c>
      <c r="M186" t="str">
        <f t="shared" si="7"/>
        <v>Mid</v>
      </c>
      <c r="N186" t="str">
        <f t="shared" si="8"/>
        <v>Medium (5-14h)</v>
      </c>
      <c r="Q186" s="2"/>
    </row>
    <row r="187" spans="1:17">
      <c r="A187" s="2">
        <v>1186</v>
      </c>
      <c r="B187" s="4" t="s">
        <v>589</v>
      </c>
      <c r="C187" s="2" t="s">
        <v>101</v>
      </c>
      <c r="D187" s="2" t="s">
        <v>29</v>
      </c>
      <c r="E187" s="2" t="s">
        <v>30</v>
      </c>
      <c r="F187" s="2">
        <v>6058</v>
      </c>
      <c r="G187" s="2">
        <v>11</v>
      </c>
      <c r="H187" s="2">
        <v>1</v>
      </c>
      <c r="I187" s="2">
        <v>2</v>
      </c>
      <c r="J187" s="2" t="s">
        <v>67</v>
      </c>
      <c r="K187" s="2" t="s">
        <v>169</v>
      </c>
      <c r="L187">
        <f t="shared" si="6"/>
        <v>1</v>
      </c>
      <c r="M187" t="str">
        <f t="shared" si="7"/>
        <v>Mid</v>
      </c>
      <c r="N187" t="str">
        <f t="shared" si="8"/>
        <v>Medium (5-14h)</v>
      </c>
      <c r="Q187" s="2"/>
    </row>
    <row r="188" spans="1:17">
      <c r="A188" s="2">
        <v>1187</v>
      </c>
      <c r="B188" s="4" t="s">
        <v>455</v>
      </c>
      <c r="C188" s="2" t="s">
        <v>233</v>
      </c>
      <c r="D188" s="2" t="s">
        <v>49</v>
      </c>
      <c r="E188" s="2" t="s">
        <v>62</v>
      </c>
      <c r="F188" s="2">
        <v>9082</v>
      </c>
      <c r="G188" s="2">
        <v>13</v>
      </c>
      <c r="H188" s="2">
        <v>2</v>
      </c>
      <c r="I188" s="2">
        <v>3</v>
      </c>
      <c r="J188" s="2" t="s">
        <v>169</v>
      </c>
      <c r="K188" s="2" t="s">
        <v>67</v>
      </c>
      <c r="L188">
        <f t="shared" si="6"/>
        <v>0</v>
      </c>
      <c r="M188" t="str">
        <f t="shared" si="7"/>
        <v>High</v>
      </c>
      <c r="N188" t="str">
        <f t="shared" si="8"/>
        <v>Medium (5-14h)</v>
      </c>
      <c r="Q188" s="2"/>
    </row>
    <row r="189" spans="1:17">
      <c r="A189" s="2">
        <v>1188</v>
      </c>
      <c r="B189" s="4" t="s">
        <v>590</v>
      </c>
      <c r="C189" s="2" t="s">
        <v>33</v>
      </c>
      <c r="D189" s="2" t="s">
        <v>19</v>
      </c>
      <c r="E189" s="2" t="s">
        <v>34</v>
      </c>
      <c r="F189" s="2">
        <v>13896</v>
      </c>
      <c r="G189" s="2">
        <v>6</v>
      </c>
      <c r="H189" s="2">
        <v>2</v>
      </c>
      <c r="I189" s="2">
        <v>2</v>
      </c>
      <c r="J189" s="2" t="s">
        <v>67</v>
      </c>
      <c r="K189" s="2" t="s">
        <v>67</v>
      </c>
      <c r="L189">
        <f t="shared" si="6"/>
        <v>0</v>
      </c>
      <c r="M189" t="str">
        <f t="shared" si="7"/>
        <v>High</v>
      </c>
      <c r="N189" t="str">
        <f t="shared" si="8"/>
        <v>Medium (5-14h)</v>
      </c>
      <c r="Q189" s="2"/>
    </row>
    <row r="190" spans="1:17">
      <c r="A190" s="2">
        <v>1189</v>
      </c>
      <c r="B190" s="4" t="s">
        <v>591</v>
      </c>
      <c r="C190" s="2" t="s">
        <v>33</v>
      </c>
      <c r="D190" s="2" t="s">
        <v>19</v>
      </c>
      <c r="E190" s="2" t="s">
        <v>20</v>
      </c>
      <c r="F190" s="2">
        <v>3074</v>
      </c>
      <c r="G190" s="2">
        <v>3</v>
      </c>
      <c r="H190" s="2">
        <v>3</v>
      </c>
      <c r="I190" s="2">
        <v>3</v>
      </c>
      <c r="J190" s="2" t="s">
        <v>67</v>
      </c>
      <c r="K190" s="2" t="s">
        <v>67</v>
      </c>
      <c r="L190">
        <f t="shared" si="6"/>
        <v>0</v>
      </c>
      <c r="M190" t="str">
        <f t="shared" si="7"/>
        <v>Low</v>
      </c>
      <c r="N190" t="str">
        <f t="shared" si="8"/>
        <v>Low (&lt;5h)</v>
      </c>
      <c r="Q190" s="2"/>
    </row>
    <row r="191" spans="1:17">
      <c r="A191" s="2">
        <v>1190</v>
      </c>
      <c r="B191" s="4" t="s">
        <v>592</v>
      </c>
      <c r="C191" s="2" t="s">
        <v>12</v>
      </c>
      <c r="D191" s="2" t="s">
        <v>13</v>
      </c>
      <c r="E191" s="2" t="s">
        <v>155</v>
      </c>
      <c r="F191" s="2">
        <v>3453</v>
      </c>
      <c r="G191" s="2">
        <v>12</v>
      </c>
      <c r="H191" s="2">
        <v>3</v>
      </c>
      <c r="I191" s="2">
        <v>3</v>
      </c>
      <c r="J191" s="2" t="s">
        <v>67</v>
      </c>
      <c r="K191" s="2" t="s">
        <v>67</v>
      </c>
      <c r="L191">
        <f t="shared" si="6"/>
        <v>0</v>
      </c>
      <c r="M191" t="str">
        <f t="shared" si="7"/>
        <v>Low</v>
      </c>
      <c r="N191" t="str">
        <f t="shared" si="8"/>
        <v>Medium (5-14h)</v>
      </c>
      <c r="Q191" s="2"/>
    </row>
    <row r="192" spans="1:17">
      <c r="A192" s="2">
        <v>1191</v>
      </c>
      <c r="B192" s="4" t="s">
        <v>247</v>
      </c>
      <c r="C192" s="2" t="s">
        <v>12</v>
      </c>
      <c r="D192" s="2" t="s">
        <v>13</v>
      </c>
      <c r="E192" s="2" t="s">
        <v>44</v>
      </c>
      <c r="F192" s="2">
        <v>9204</v>
      </c>
      <c r="G192" s="2">
        <v>2</v>
      </c>
      <c r="H192" s="2">
        <v>3</v>
      </c>
      <c r="I192" s="2">
        <v>3</v>
      </c>
      <c r="J192" s="2" t="s">
        <v>169</v>
      </c>
      <c r="K192" s="2" t="s">
        <v>67</v>
      </c>
      <c r="L192">
        <f t="shared" si="6"/>
        <v>0</v>
      </c>
      <c r="M192" t="str">
        <f t="shared" si="7"/>
        <v>High</v>
      </c>
      <c r="N192" t="str">
        <f t="shared" si="8"/>
        <v>Low (&lt;5h)</v>
      </c>
      <c r="Q192" s="2"/>
    </row>
    <row r="193" spans="1:17">
      <c r="A193" s="2">
        <v>1192</v>
      </c>
      <c r="B193" s="4" t="s">
        <v>411</v>
      </c>
      <c r="C193" s="2" t="s">
        <v>33</v>
      </c>
      <c r="D193" s="2" t="s">
        <v>19</v>
      </c>
      <c r="E193" s="2" t="s">
        <v>34</v>
      </c>
      <c r="F193" s="2">
        <v>5134</v>
      </c>
      <c r="G193" s="2">
        <v>11</v>
      </c>
      <c r="H193" s="2">
        <v>2</v>
      </c>
      <c r="I193" s="2">
        <v>2</v>
      </c>
      <c r="J193" s="2" t="s">
        <v>67</v>
      </c>
      <c r="K193" s="2" t="s">
        <v>67</v>
      </c>
      <c r="L193">
        <f t="shared" si="6"/>
        <v>0</v>
      </c>
      <c r="M193" t="str">
        <f t="shared" si="7"/>
        <v>Mid</v>
      </c>
      <c r="N193" t="str">
        <f t="shared" si="8"/>
        <v>Medium (5-14h)</v>
      </c>
      <c r="Q193" s="2"/>
    </row>
    <row r="194" spans="1:17">
      <c r="A194" s="2">
        <v>1193</v>
      </c>
      <c r="B194" s="4" t="s">
        <v>593</v>
      </c>
      <c r="C194" s="2" t="s">
        <v>33</v>
      </c>
      <c r="D194" s="2" t="s">
        <v>29</v>
      </c>
      <c r="E194" s="2" t="s">
        <v>30</v>
      </c>
      <c r="F194" s="2">
        <v>12300</v>
      </c>
      <c r="G194" s="2">
        <v>6</v>
      </c>
      <c r="H194" s="2">
        <v>4</v>
      </c>
      <c r="I194" s="2">
        <v>3</v>
      </c>
      <c r="J194" s="2" t="s">
        <v>169</v>
      </c>
      <c r="K194" s="2" t="s">
        <v>67</v>
      </c>
      <c r="L194">
        <f t="shared" si="6"/>
        <v>0</v>
      </c>
      <c r="M194" t="str">
        <f t="shared" si="7"/>
        <v>High</v>
      </c>
      <c r="N194" t="str">
        <f t="shared" si="8"/>
        <v>Medium (5-14h)</v>
      </c>
      <c r="Q194" s="2"/>
    </row>
    <row r="195" spans="1:17">
      <c r="A195" s="2">
        <v>1194</v>
      </c>
      <c r="B195" s="4" t="s">
        <v>594</v>
      </c>
      <c r="C195" s="2" t="s">
        <v>24</v>
      </c>
      <c r="D195" s="2" t="s">
        <v>25</v>
      </c>
      <c r="E195" s="2" t="s">
        <v>38</v>
      </c>
      <c r="F195" s="2">
        <v>8967</v>
      </c>
      <c r="G195" s="2">
        <v>3</v>
      </c>
      <c r="H195" s="2">
        <v>2</v>
      </c>
      <c r="I195" s="2">
        <v>4</v>
      </c>
      <c r="J195" s="2" t="s">
        <v>169</v>
      </c>
      <c r="K195" s="2" t="s">
        <v>67</v>
      </c>
      <c r="L195">
        <f t="shared" ref="L195:L258" si="9">IF(K195="YES",1,0)</f>
        <v>0</v>
      </c>
      <c r="M195" t="str">
        <f t="shared" ref="M195:M258" si="10">IF(F195&lt;4500,"Low",IF(F195&lt;9000,"Mid","High"))</f>
        <v>Mid</v>
      </c>
      <c r="N195" t="str">
        <f t="shared" ref="N195:N258" si="11">IF(G195&lt;5,"Low (&lt;5h)",IF(G195&lt;15,"Medium (5-14h)","High (15h+)"))</f>
        <v>Low (&lt;5h)</v>
      </c>
      <c r="Q195" s="2"/>
    </row>
    <row r="196" spans="1:17">
      <c r="A196" s="2">
        <v>1195</v>
      </c>
      <c r="B196" s="4" t="s">
        <v>293</v>
      </c>
      <c r="C196" s="2" t="s">
        <v>101</v>
      </c>
      <c r="D196" s="2" t="s">
        <v>29</v>
      </c>
      <c r="E196" s="2" t="s">
        <v>102</v>
      </c>
      <c r="F196" s="2">
        <v>9374</v>
      </c>
      <c r="G196" s="2">
        <v>4</v>
      </c>
      <c r="H196" s="2">
        <v>4</v>
      </c>
      <c r="I196" s="2">
        <v>4</v>
      </c>
      <c r="J196" s="2" t="s">
        <v>169</v>
      </c>
      <c r="K196" s="2" t="s">
        <v>67</v>
      </c>
      <c r="L196">
        <f t="shared" si="9"/>
        <v>0</v>
      </c>
      <c r="M196" t="str">
        <f t="shared" si="10"/>
        <v>High</v>
      </c>
      <c r="N196" t="str">
        <f t="shared" si="11"/>
        <v>Low (&lt;5h)</v>
      </c>
      <c r="Q196" s="2"/>
    </row>
    <row r="197" spans="1:17">
      <c r="A197" s="2">
        <v>1196</v>
      </c>
      <c r="B197" s="4" t="s">
        <v>410</v>
      </c>
      <c r="C197" s="2" t="s">
        <v>33</v>
      </c>
      <c r="D197" s="2" t="s">
        <v>49</v>
      </c>
      <c r="E197" s="2" t="s">
        <v>62</v>
      </c>
      <c r="F197" s="2">
        <v>5836</v>
      </c>
      <c r="G197" s="2">
        <v>0</v>
      </c>
      <c r="H197" s="2">
        <v>4</v>
      </c>
      <c r="I197" s="2">
        <v>4</v>
      </c>
      <c r="J197" s="2" t="s">
        <v>67</v>
      </c>
      <c r="K197" s="2" t="s">
        <v>67</v>
      </c>
      <c r="L197">
        <f t="shared" si="9"/>
        <v>0</v>
      </c>
      <c r="M197" t="str">
        <f t="shared" si="10"/>
        <v>Mid</v>
      </c>
      <c r="N197" t="str">
        <f t="shared" si="11"/>
        <v>Low (&lt;5h)</v>
      </c>
      <c r="Q197" s="2"/>
    </row>
    <row r="198" spans="1:17">
      <c r="A198" s="2">
        <v>1197</v>
      </c>
      <c r="B198" s="4" t="s">
        <v>595</v>
      </c>
      <c r="C198" s="2" t="s">
        <v>33</v>
      </c>
      <c r="D198" s="2" t="s">
        <v>19</v>
      </c>
      <c r="E198" s="2" t="s">
        <v>20</v>
      </c>
      <c r="F198" s="2">
        <v>6277</v>
      </c>
      <c r="G198" s="2">
        <v>18</v>
      </c>
      <c r="H198" s="2">
        <v>2</v>
      </c>
      <c r="I198" s="2">
        <v>3</v>
      </c>
      <c r="J198" s="2" t="s">
        <v>67</v>
      </c>
      <c r="K198" s="2" t="s">
        <v>67</v>
      </c>
      <c r="L198">
        <f t="shared" si="9"/>
        <v>0</v>
      </c>
      <c r="M198" t="str">
        <f t="shared" si="10"/>
        <v>Mid</v>
      </c>
      <c r="N198" t="str">
        <f t="shared" si="11"/>
        <v>High (15h+)</v>
      </c>
      <c r="Q198" s="2"/>
    </row>
    <row r="199" spans="1:17">
      <c r="A199" s="2">
        <v>1198</v>
      </c>
      <c r="B199" s="4" t="s">
        <v>94</v>
      </c>
      <c r="C199" s="2" t="s">
        <v>83</v>
      </c>
      <c r="D199" s="2" t="s">
        <v>56</v>
      </c>
      <c r="E199" s="2" t="s">
        <v>57</v>
      </c>
      <c r="F199" s="2">
        <v>9021</v>
      </c>
      <c r="G199" s="2">
        <v>15</v>
      </c>
      <c r="H199" s="2">
        <v>2</v>
      </c>
      <c r="I199" s="2">
        <v>2</v>
      </c>
      <c r="J199" s="2" t="s">
        <v>67</v>
      </c>
      <c r="K199" s="2" t="s">
        <v>169</v>
      </c>
      <c r="L199">
        <f t="shared" si="9"/>
        <v>1</v>
      </c>
      <c r="M199" t="str">
        <f t="shared" si="10"/>
        <v>High</v>
      </c>
      <c r="N199" t="str">
        <f t="shared" si="11"/>
        <v>High (15h+)</v>
      </c>
      <c r="Q199" s="2"/>
    </row>
    <row r="200" spans="1:17">
      <c r="A200" s="2">
        <v>1199</v>
      </c>
      <c r="B200" s="4" t="s">
        <v>596</v>
      </c>
      <c r="C200" s="2" t="s">
        <v>24</v>
      </c>
      <c r="D200" s="2" t="s">
        <v>25</v>
      </c>
      <c r="E200" s="2" t="s">
        <v>26</v>
      </c>
      <c r="F200" s="2">
        <v>7601</v>
      </c>
      <c r="G200" s="2">
        <v>12</v>
      </c>
      <c r="H200" s="2">
        <v>3</v>
      </c>
      <c r="I200" s="2">
        <v>2</v>
      </c>
      <c r="J200" s="2" t="s">
        <v>169</v>
      </c>
      <c r="K200" s="2" t="s">
        <v>67</v>
      </c>
      <c r="L200">
        <f t="shared" si="9"/>
        <v>0</v>
      </c>
      <c r="M200" t="str">
        <f t="shared" si="10"/>
        <v>Mid</v>
      </c>
      <c r="N200" t="str">
        <f t="shared" si="11"/>
        <v>Medium (5-14h)</v>
      </c>
      <c r="Q200" s="2"/>
    </row>
    <row r="201" spans="1:17">
      <c r="A201" s="2">
        <v>1200</v>
      </c>
      <c r="B201" s="4" t="s">
        <v>334</v>
      </c>
      <c r="C201" s="2" t="s">
        <v>33</v>
      </c>
      <c r="D201" s="2" t="s">
        <v>29</v>
      </c>
      <c r="E201" s="2" t="s">
        <v>30</v>
      </c>
      <c r="F201" s="2">
        <v>3014</v>
      </c>
      <c r="G201" s="2">
        <v>7</v>
      </c>
      <c r="H201" s="2">
        <v>3</v>
      </c>
      <c r="I201" s="2">
        <v>4</v>
      </c>
      <c r="J201" s="2" t="s">
        <v>67</v>
      </c>
      <c r="K201" s="2" t="s">
        <v>67</v>
      </c>
      <c r="L201">
        <f t="shared" si="9"/>
        <v>0</v>
      </c>
      <c r="M201" t="str">
        <f t="shared" si="10"/>
        <v>Low</v>
      </c>
      <c r="N201" t="str">
        <f t="shared" si="11"/>
        <v>Medium (5-14h)</v>
      </c>
      <c r="Q201" s="2"/>
    </row>
    <row r="202" spans="1:17">
      <c r="A202" s="2">
        <v>1201</v>
      </c>
      <c r="B202" s="4" t="s">
        <v>597</v>
      </c>
      <c r="C202" s="2" t="s">
        <v>24</v>
      </c>
      <c r="D202" s="2" t="s">
        <v>25</v>
      </c>
      <c r="E202" s="2" t="s">
        <v>26</v>
      </c>
      <c r="F202" s="2">
        <v>8767</v>
      </c>
      <c r="G202" s="2">
        <v>8</v>
      </c>
      <c r="H202" s="2">
        <v>1</v>
      </c>
      <c r="I202" s="2">
        <v>4</v>
      </c>
      <c r="J202" s="2" t="s">
        <v>169</v>
      </c>
      <c r="K202" s="2" t="s">
        <v>67</v>
      </c>
      <c r="L202">
        <f t="shared" si="9"/>
        <v>0</v>
      </c>
      <c r="M202" t="str">
        <f t="shared" si="10"/>
        <v>Mid</v>
      </c>
      <c r="N202" t="str">
        <f t="shared" si="11"/>
        <v>Medium (5-14h)</v>
      </c>
      <c r="Q202" s="2"/>
    </row>
    <row r="203" spans="1:17">
      <c r="A203" s="2">
        <v>1202</v>
      </c>
      <c r="B203" s="4" t="s">
        <v>598</v>
      </c>
      <c r="C203" s="2" t="s">
        <v>83</v>
      </c>
      <c r="D203" s="2" t="s">
        <v>56</v>
      </c>
      <c r="E203" s="2" t="s">
        <v>85</v>
      </c>
      <c r="F203" s="2">
        <v>9724</v>
      </c>
      <c r="G203" s="2">
        <v>7</v>
      </c>
      <c r="H203" s="2">
        <v>2</v>
      </c>
      <c r="I203" s="2">
        <v>1</v>
      </c>
      <c r="J203" s="2" t="s">
        <v>67</v>
      </c>
      <c r="K203" s="2" t="s">
        <v>67</v>
      </c>
      <c r="L203">
        <f t="shared" si="9"/>
        <v>0</v>
      </c>
      <c r="M203" t="str">
        <f t="shared" si="10"/>
        <v>High</v>
      </c>
      <c r="N203" t="str">
        <f t="shared" si="11"/>
        <v>Medium (5-14h)</v>
      </c>
      <c r="Q203" s="2"/>
    </row>
    <row r="204" spans="1:17">
      <c r="A204" s="2">
        <v>1203</v>
      </c>
      <c r="B204" s="4" t="s">
        <v>599</v>
      </c>
      <c r="C204" s="2" t="s">
        <v>101</v>
      </c>
      <c r="D204" s="2" t="s">
        <v>29</v>
      </c>
      <c r="E204" s="2" t="s">
        <v>30</v>
      </c>
      <c r="F204" s="2">
        <v>9740</v>
      </c>
      <c r="G204" s="2">
        <v>8</v>
      </c>
      <c r="H204" s="2">
        <v>4</v>
      </c>
      <c r="I204" s="2">
        <v>3</v>
      </c>
      <c r="J204" s="2" t="s">
        <v>169</v>
      </c>
      <c r="K204" s="2" t="s">
        <v>67</v>
      </c>
      <c r="L204">
        <f t="shared" si="9"/>
        <v>0</v>
      </c>
      <c r="M204" t="str">
        <f t="shared" si="10"/>
        <v>High</v>
      </c>
      <c r="N204" t="str">
        <f t="shared" si="11"/>
        <v>Medium (5-14h)</v>
      </c>
      <c r="Q204" s="2"/>
    </row>
    <row r="205" spans="1:17">
      <c r="A205" s="2">
        <v>1204</v>
      </c>
      <c r="B205" s="4" t="s">
        <v>600</v>
      </c>
      <c r="C205" s="2" t="s">
        <v>24</v>
      </c>
      <c r="D205" s="2" t="s">
        <v>25</v>
      </c>
      <c r="E205" s="2" t="s">
        <v>38</v>
      </c>
      <c r="F205" s="2">
        <v>13770</v>
      </c>
      <c r="G205" s="2">
        <v>5</v>
      </c>
      <c r="H205" s="2">
        <v>2</v>
      </c>
      <c r="I205" s="2">
        <v>3</v>
      </c>
      <c r="J205" s="2" t="s">
        <v>169</v>
      </c>
      <c r="K205" s="2" t="s">
        <v>67</v>
      </c>
      <c r="L205">
        <f t="shared" si="9"/>
        <v>0</v>
      </c>
      <c r="M205" t="str">
        <f t="shared" si="10"/>
        <v>High</v>
      </c>
      <c r="N205" t="str">
        <f t="shared" si="11"/>
        <v>Medium (5-14h)</v>
      </c>
      <c r="Q205" s="2"/>
    </row>
    <row r="206" spans="1:17">
      <c r="A206" s="2">
        <v>1205</v>
      </c>
      <c r="B206" s="4" t="s">
        <v>601</v>
      </c>
      <c r="C206" s="2" t="s">
        <v>101</v>
      </c>
      <c r="D206" s="2" t="s">
        <v>29</v>
      </c>
      <c r="E206" s="2" t="s">
        <v>30</v>
      </c>
      <c r="F206" s="2">
        <v>9065</v>
      </c>
      <c r="G206" s="2">
        <v>1</v>
      </c>
      <c r="H206" s="2">
        <v>2</v>
      </c>
      <c r="I206" s="2">
        <v>3</v>
      </c>
      <c r="J206" s="2" t="s">
        <v>67</v>
      </c>
      <c r="K206" s="2" t="s">
        <v>67</v>
      </c>
      <c r="L206">
        <f t="shared" si="9"/>
        <v>0</v>
      </c>
      <c r="M206" t="str">
        <f t="shared" si="10"/>
        <v>High</v>
      </c>
      <c r="N206" t="str">
        <f t="shared" si="11"/>
        <v>Low (&lt;5h)</v>
      </c>
      <c r="Q206" s="2"/>
    </row>
    <row r="207" spans="1:17">
      <c r="A207" s="2">
        <v>1206</v>
      </c>
      <c r="B207" s="4" t="s">
        <v>602</v>
      </c>
      <c r="C207" s="2" t="s">
        <v>233</v>
      </c>
      <c r="D207" s="2" t="s">
        <v>49</v>
      </c>
      <c r="E207" s="2" t="s">
        <v>50</v>
      </c>
      <c r="F207" s="2">
        <v>5594</v>
      </c>
      <c r="G207" s="2">
        <v>7</v>
      </c>
      <c r="H207" s="2">
        <v>4</v>
      </c>
      <c r="I207" s="2">
        <v>4</v>
      </c>
      <c r="J207" s="2" t="s">
        <v>169</v>
      </c>
      <c r="K207" s="2" t="s">
        <v>67</v>
      </c>
      <c r="L207">
        <f t="shared" si="9"/>
        <v>0</v>
      </c>
      <c r="M207" t="str">
        <f t="shared" si="10"/>
        <v>Mid</v>
      </c>
      <c r="N207" t="str">
        <f t="shared" si="11"/>
        <v>Medium (5-14h)</v>
      </c>
      <c r="Q207" s="2"/>
    </row>
    <row r="208" spans="1:17">
      <c r="A208" s="2">
        <v>1207</v>
      </c>
      <c r="B208" s="4" t="s">
        <v>603</v>
      </c>
      <c r="C208" s="2" t="s">
        <v>101</v>
      </c>
      <c r="D208" s="2" t="s">
        <v>29</v>
      </c>
      <c r="E208" s="2" t="s">
        <v>102</v>
      </c>
      <c r="F208" s="2">
        <v>13352</v>
      </c>
      <c r="G208" s="2">
        <v>10</v>
      </c>
      <c r="H208" s="2">
        <v>2</v>
      </c>
      <c r="I208" s="2">
        <v>3</v>
      </c>
      <c r="J208" s="2" t="s">
        <v>169</v>
      </c>
      <c r="K208" s="2" t="s">
        <v>67</v>
      </c>
      <c r="L208">
        <f t="shared" si="9"/>
        <v>0</v>
      </c>
      <c r="M208" t="str">
        <f t="shared" si="10"/>
        <v>High</v>
      </c>
      <c r="N208" t="str">
        <f t="shared" si="11"/>
        <v>Medium (5-14h)</v>
      </c>
      <c r="Q208" s="2"/>
    </row>
    <row r="209" spans="1:17">
      <c r="A209" s="2">
        <v>1208</v>
      </c>
      <c r="B209" s="4" t="s">
        <v>381</v>
      </c>
      <c r="C209" s="2" t="s">
        <v>33</v>
      </c>
      <c r="D209" s="2" t="s">
        <v>19</v>
      </c>
      <c r="E209" s="2" t="s">
        <v>20</v>
      </c>
      <c r="F209" s="2">
        <v>11713</v>
      </c>
      <c r="G209" s="2">
        <v>0</v>
      </c>
      <c r="H209" s="2">
        <v>2</v>
      </c>
      <c r="I209" s="2">
        <v>4</v>
      </c>
      <c r="J209" s="2" t="s">
        <v>169</v>
      </c>
      <c r="K209" s="2" t="s">
        <v>67</v>
      </c>
      <c r="L209">
        <f t="shared" si="9"/>
        <v>0</v>
      </c>
      <c r="M209" t="str">
        <f t="shared" si="10"/>
        <v>High</v>
      </c>
      <c r="N209" t="str">
        <f t="shared" si="11"/>
        <v>Low (&lt;5h)</v>
      </c>
      <c r="Q209" s="2"/>
    </row>
    <row r="210" spans="1:17">
      <c r="A210" s="2">
        <v>1209</v>
      </c>
      <c r="B210" s="4" t="s">
        <v>604</v>
      </c>
      <c r="C210" s="2" t="s">
        <v>12</v>
      </c>
      <c r="D210" s="2" t="s">
        <v>13</v>
      </c>
      <c r="E210" s="2" t="s">
        <v>14</v>
      </c>
      <c r="F210" s="2">
        <v>11397</v>
      </c>
      <c r="G210" s="2">
        <v>17</v>
      </c>
      <c r="H210" s="2">
        <v>1</v>
      </c>
      <c r="I210" s="2">
        <v>2</v>
      </c>
      <c r="J210" s="2" t="s">
        <v>67</v>
      </c>
      <c r="K210" s="2" t="s">
        <v>169</v>
      </c>
      <c r="L210">
        <f t="shared" si="9"/>
        <v>1</v>
      </c>
      <c r="M210" t="str">
        <f t="shared" si="10"/>
        <v>High</v>
      </c>
      <c r="N210" t="str">
        <f t="shared" si="11"/>
        <v>High (15h+)</v>
      </c>
      <c r="Q210" s="2"/>
    </row>
    <row r="211" spans="1:17">
      <c r="A211" s="2">
        <v>1210</v>
      </c>
      <c r="B211" s="4" t="s">
        <v>605</v>
      </c>
      <c r="C211" s="2" t="s">
        <v>33</v>
      </c>
      <c r="D211" s="2" t="s">
        <v>25</v>
      </c>
      <c r="E211" s="2" t="s">
        <v>26</v>
      </c>
      <c r="F211" s="2">
        <v>3401</v>
      </c>
      <c r="G211" s="2">
        <v>0</v>
      </c>
      <c r="H211" s="2">
        <v>4</v>
      </c>
      <c r="I211" s="2">
        <v>3</v>
      </c>
      <c r="J211" s="2" t="s">
        <v>67</v>
      </c>
      <c r="K211" s="2" t="s">
        <v>67</v>
      </c>
      <c r="L211">
        <f t="shared" si="9"/>
        <v>0</v>
      </c>
      <c r="M211" t="str">
        <f t="shared" si="10"/>
        <v>Low</v>
      </c>
      <c r="N211" t="str">
        <f t="shared" si="11"/>
        <v>Low (&lt;5h)</v>
      </c>
      <c r="Q211" s="2"/>
    </row>
    <row r="212" spans="1:17">
      <c r="A212" s="2">
        <v>1211</v>
      </c>
      <c r="B212" s="4" t="s">
        <v>606</v>
      </c>
      <c r="C212" s="2" t="s">
        <v>233</v>
      </c>
      <c r="D212" s="2" t="s">
        <v>49</v>
      </c>
      <c r="E212" s="2" t="s">
        <v>78</v>
      </c>
      <c r="F212" s="2">
        <v>13934</v>
      </c>
      <c r="G212" s="2">
        <v>17</v>
      </c>
      <c r="H212" s="2">
        <v>1</v>
      </c>
      <c r="I212" s="2">
        <v>3</v>
      </c>
      <c r="J212" s="2" t="s">
        <v>67</v>
      </c>
      <c r="K212" s="2" t="s">
        <v>169</v>
      </c>
      <c r="L212">
        <f t="shared" si="9"/>
        <v>1</v>
      </c>
      <c r="M212" t="str">
        <f t="shared" si="10"/>
        <v>High</v>
      </c>
      <c r="N212" t="str">
        <f t="shared" si="11"/>
        <v>High (15h+)</v>
      </c>
      <c r="Q212" s="2"/>
    </row>
    <row r="213" spans="1:17">
      <c r="A213" s="2">
        <v>1212</v>
      </c>
      <c r="B213" s="4" t="s">
        <v>607</v>
      </c>
      <c r="C213" s="2" t="s">
        <v>33</v>
      </c>
      <c r="D213" s="2" t="s">
        <v>25</v>
      </c>
      <c r="E213" s="2" t="s">
        <v>38</v>
      </c>
      <c r="F213" s="2">
        <v>8238</v>
      </c>
      <c r="G213" s="2">
        <v>10</v>
      </c>
      <c r="H213" s="2">
        <v>3</v>
      </c>
      <c r="I213" s="2">
        <v>4</v>
      </c>
      <c r="J213" s="2" t="s">
        <v>169</v>
      </c>
      <c r="K213" s="2" t="s">
        <v>67</v>
      </c>
      <c r="L213">
        <f t="shared" si="9"/>
        <v>0</v>
      </c>
      <c r="M213" t="str">
        <f t="shared" si="10"/>
        <v>Mid</v>
      </c>
      <c r="N213" t="str">
        <f t="shared" si="11"/>
        <v>Medium (5-14h)</v>
      </c>
      <c r="Q213" s="2"/>
    </row>
    <row r="214" spans="1:17">
      <c r="A214" s="2">
        <v>1213</v>
      </c>
      <c r="B214" s="4" t="s">
        <v>608</v>
      </c>
      <c r="C214" s="2" t="s">
        <v>33</v>
      </c>
      <c r="D214" s="2" t="s">
        <v>19</v>
      </c>
      <c r="E214" s="2" t="s">
        <v>20</v>
      </c>
      <c r="F214" s="2">
        <v>5418</v>
      </c>
      <c r="G214" s="2">
        <v>8</v>
      </c>
      <c r="H214" s="2">
        <v>2</v>
      </c>
      <c r="I214" s="2">
        <v>3</v>
      </c>
      <c r="J214" s="2" t="s">
        <v>67</v>
      </c>
      <c r="K214" s="2" t="s">
        <v>169</v>
      </c>
      <c r="L214">
        <f t="shared" si="9"/>
        <v>1</v>
      </c>
      <c r="M214" t="str">
        <f t="shared" si="10"/>
        <v>Mid</v>
      </c>
      <c r="N214" t="str">
        <f t="shared" si="11"/>
        <v>Medium (5-14h)</v>
      </c>
      <c r="Q214" s="2"/>
    </row>
    <row r="215" spans="1:17">
      <c r="A215" s="2">
        <v>1214</v>
      </c>
      <c r="B215" s="4" t="s">
        <v>36</v>
      </c>
      <c r="C215" s="2" t="s">
        <v>24</v>
      </c>
      <c r="D215" s="2" t="s">
        <v>25</v>
      </c>
      <c r="E215" s="2" t="s">
        <v>38</v>
      </c>
      <c r="F215" s="2">
        <v>9149</v>
      </c>
      <c r="G215" s="2">
        <v>5</v>
      </c>
      <c r="H215" s="2">
        <v>3</v>
      </c>
      <c r="I215" s="2">
        <v>4</v>
      </c>
      <c r="J215" s="2" t="s">
        <v>169</v>
      </c>
      <c r="K215" s="2" t="s">
        <v>67</v>
      </c>
      <c r="L215">
        <f t="shared" si="9"/>
        <v>0</v>
      </c>
      <c r="M215" t="str">
        <f t="shared" si="10"/>
        <v>High</v>
      </c>
      <c r="N215" t="str">
        <f t="shared" si="11"/>
        <v>Medium (5-14h)</v>
      </c>
      <c r="Q215" s="2"/>
    </row>
    <row r="216" spans="1:17">
      <c r="A216" s="2">
        <v>1215</v>
      </c>
      <c r="B216" s="4" t="s">
        <v>609</v>
      </c>
      <c r="C216" s="2" t="s">
        <v>233</v>
      </c>
      <c r="D216" s="2" t="s">
        <v>49</v>
      </c>
      <c r="E216" s="2" t="s">
        <v>50</v>
      </c>
      <c r="F216" s="2">
        <v>7033</v>
      </c>
      <c r="G216" s="2">
        <v>9</v>
      </c>
      <c r="H216" s="2">
        <v>3</v>
      </c>
      <c r="I216" s="2">
        <v>2</v>
      </c>
      <c r="J216" s="2" t="s">
        <v>67</v>
      </c>
      <c r="K216" s="2" t="s">
        <v>67</v>
      </c>
      <c r="L216">
        <f t="shared" si="9"/>
        <v>0</v>
      </c>
      <c r="M216" t="str">
        <f t="shared" si="10"/>
        <v>Mid</v>
      </c>
      <c r="N216" t="str">
        <f t="shared" si="11"/>
        <v>Medium (5-14h)</v>
      </c>
      <c r="Q216" s="2"/>
    </row>
    <row r="217" spans="1:17">
      <c r="A217" s="2">
        <v>1216</v>
      </c>
      <c r="B217" s="4" t="s">
        <v>610</v>
      </c>
      <c r="C217" s="2" t="s">
        <v>33</v>
      </c>
      <c r="D217" s="2" t="s">
        <v>19</v>
      </c>
      <c r="E217" s="2" t="s">
        <v>34</v>
      </c>
      <c r="F217" s="2">
        <v>4995</v>
      </c>
      <c r="G217" s="2">
        <v>18</v>
      </c>
      <c r="H217" s="2">
        <v>2</v>
      </c>
      <c r="I217" s="2">
        <v>1</v>
      </c>
      <c r="J217" s="2" t="s">
        <v>67</v>
      </c>
      <c r="K217" s="2" t="s">
        <v>67</v>
      </c>
      <c r="L217">
        <f t="shared" si="9"/>
        <v>0</v>
      </c>
      <c r="M217" t="str">
        <f t="shared" si="10"/>
        <v>Mid</v>
      </c>
      <c r="N217" t="str">
        <f t="shared" si="11"/>
        <v>High (15h+)</v>
      </c>
      <c r="Q217" s="2"/>
    </row>
    <row r="218" spans="1:17">
      <c r="A218" s="2">
        <v>1217</v>
      </c>
      <c r="B218" s="4" t="s">
        <v>611</v>
      </c>
      <c r="C218" s="2" t="s">
        <v>101</v>
      </c>
      <c r="D218" s="2" t="s">
        <v>29</v>
      </c>
      <c r="E218" s="2" t="s">
        <v>30</v>
      </c>
      <c r="F218" s="2">
        <v>7183</v>
      </c>
      <c r="G218" s="2">
        <v>8</v>
      </c>
      <c r="H218" s="2">
        <v>4</v>
      </c>
      <c r="I218" s="2">
        <v>1</v>
      </c>
      <c r="J218" s="2" t="s">
        <v>67</v>
      </c>
      <c r="K218" s="2" t="s">
        <v>67</v>
      </c>
      <c r="L218">
        <f t="shared" si="9"/>
        <v>0</v>
      </c>
      <c r="M218" t="str">
        <f t="shared" si="10"/>
        <v>Mid</v>
      </c>
      <c r="N218" t="str">
        <f t="shared" si="11"/>
        <v>Medium (5-14h)</v>
      </c>
      <c r="Q218" s="2"/>
    </row>
    <row r="219" spans="1:17">
      <c r="A219" s="2">
        <v>1218</v>
      </c>
      <c r="B219" s="4" t="s">
        <v>612</v>
      </c>
      <c r="C219" s="2" t="s">
        <v>83</v>
      </c>
      <c r="D219" s="2" t="s">
        <v>56</v>
      </c>
      <c r="E219" s="2" t="s">
        <v>85</v>
      </c>
      <c r="F219" s="2">
        <v>10012</v>
      </c>
      <c r="G219" s="2">
        <v>5</v>
      </c>
      <c r="H219" s="2">
        <v>3</v>
      </c>
      <c r="I219" s="2">
        <v>3</v>
      </c>
      <c r="J219" s="2" t="s">
        <v>67</v>
      </c>
      <c r="K219" s="2" t="s">
        <v>67</v>
      </c>
      <c r="L219">
        <f t="shared" si="9"/>
        <v>0</v>
      </c>
      <c r="M219" t="str">
        <f t="shared" si="10"/>
        <v>High</v>
      </c>
      <c r="N219" t="str">
        <f t="shared" si="11"/>
        <v>Medium (5-14h)</v>
      </c>
      <c r="Q219" s="2"/>
    </row>
    <row r="220" spans="1:17">
      <c r="A220" s="2">
        <v>1219</v>
      </c>
      <c r="B220" s="4" t="s">
        <v>613</v>
      </c>
      <c r="C220" s="2" t="s">
        <v>233</v>
      </c>
      <c r="D220" s="2" t="s">
        <v>49</v>
      </c>
      <c r="E220" s="2" t="s">
        <v>50</v>
      </c>
      <c r="F220" s="2">
        <v>3547</v>
      </c>
      <c r="G220" s="2">
        <v>8</v>
      </c>
      <c r="H220" s="2">
        <v>4</v>
      </c>
      <c r="I220" s="2">
        <v>4</v>
      </c>
      <c r="J220" s="2" t="s">
        <v>169</v>
      </c>
      <c r="K220" s="2" t="s">
        <v>67</v>
      </c>
      <c r="L220">
        <f t="shared" si="9"/>
        <v>0</v>
      </c>
      <c r="M220" t="str">
        <f t="shared" si="10"/>
        <v>Low</v>
      </c>
      <c r="N220" t="str">
        <f t="shared" si="11"/>
        <v>Medium (5-14h)</v>
      </c>
      <c r="Q220" s="2"/>
    </row>
    <row r="221" spans="1:17">
      <c r="A221" s="2">
        <v>1220</v>
      </c>
      <c r="B221" s="4" t="s">
        <v>614</v>
      </c>
      <c r="C221" s="2" t="s">
        <v>83</v>
      </c>
      <c r="D221" s="2" t="s">
        <v>56</v>
      </c>
      <c r="E221" s="2" t="s">
        <v>57</v>
      </c>
      <c r="F221" s="2">
        <v>7321</v>
      </c>
      <c r="G221" s="2">
        <v>12</v>
      </c>
      <c r="H221" s="2">
        <v>2</v>
      </c>
      <c r="I221" s="2">
        <v>3</v>
      </c>
      <c r="J221" s="2" t="s">
        <v>169</v>
      </c>
      <c r="K221" s="2" t="s">
        <v>67</v>
      </c>
      <c r="L221">
        <f t="shared" si="9"/>
        <v>0</v>
      </c>
      <c r="M221" t="str">
        <f t="shared" si="10"/>
        <v>Mid</v>
      </c>
      <c r="N221" t="str">
        <f t="shared" si="11"/>
        <v>Medium (5-14h)</v>
      </c>
      <c r="Q221" s="2"/>
    </row>
    <row r="222" spans="1:17">
      <c r="A222" s="2">
        <v>1221</v>
      </c>
      <c r="B222" s="4" t="s">
        <v>84</v>
      </c>
      <c r="C222" s="2" t="s">
        <v>33</v>
      </c>
      <c r="D222" s="2" t="s">
        <v>56</v>
      </c>
      <c r="E222" s="2" t="s">
        <v>85</v>
      </c>
      <c r="F222" s="2">
        <v>9549</v>
      </c>
      <c r="G222" s="2">
        <v>13</v>
      </c>
      <c r="H222" s="2">
        <v>1</v>
      </c>
      <c r="I222" s="2">
        <v>3</v>
      </c>
      <c r="J222" s="2" t="s">
        <v>67</v>
      </c>
      <c r="K222" s="2" t="s">
        <v>169</v>
      </c>
      <c r="L222">
        <f t="shared" si="9"/>
        <v>1</v>
      </c>
      <c r="M222" t="str">
        <f t="shared" si="10"/>
        <v>High</v>
      </c>
      <c r="N222" t="str">
        <f t="shared" si="11"/>
        <v>Medium (5-14h)</v>
      </c>
      <c r="Q222" s="2"/>
    </row>
    <row r="223" spans="1:17">
      <c r="A223" s="2">
        <v>1222</v>
      </c>
      <c r="B223" s="4" t="s">
        <v>615</v>
      </c>
      <c r="C223" s="2" t="s">
        <v>33</v>
      </c>
      <c r="D223" s="2" t="s">
        <v>25</v>
      </c>
      <c r="E223" s="2" t="s">
        <v>26</v>
      </c>
      <c r="F223" s="2">
        <v>13128</v>
      </c>
      <c r="G223" s="2">
        <v>19</v>
      </c>
      <c r="H223" s="2">
        <v>2</v>
      </c>
      <c r="I223" s="2">
        <v>4</v>
      </c>
      <c r="J223" s="2" t="s">
        <v>169</v>
      </c>
      <c r="K223" s="2" t="s">
        <v>169</v>
      </c>
      <c r="L223">
        <f t="shared" si="9"/>
        <v>1</v>
      </c>
      <c r="M223" t="str">
        <f t="shared" si="10"/>
        <v>High</v>
      </c>
      <c r="N223" t="str">
        <f t="shared" si="11"/>
        <v>High (15h+)</v>
      </c>
      <c r="Q223" s="2"/>
    </row>
    <row r="224" spans="1:17">
      <c r="A224" s="2">
        <v>1223</v>
      </c>
      <c r="B224" s="4" t="s">
        <v>616</v>
      </c>
      <c r="C224" s="2" t="s">
        <v>233</v>
      </c>
      <c r="D224" s="2" t="s">
        <v>49</v>
      </c>
      <c r="E224" s="2" t="s">
        <v>50</v>
      </c>
      <c r="F224" s="2">
        <v>5788</v>
      </c>
      <c r="G224" s="2">
        <v>7</v>
      </c>
      <c r="H224" s="2">
        <v>3</v>
      </c>
      <c r="I224" s="2">
        <v>4</v>
      </c>
      <c r="J224" s="2" t="s">
        <v>169</v>
      </c>
      <c r="K224" s="2" t="s">
        <v>67</v>
      </c>
      <c r="L224">
        <f t="shared" si="9"/>
        <v>0</v>
      </c>
      <c r="M224" t="str">
        <f t="shared" si="10"/>
        <v>Mid</v>
      </c>
      <c r="N224" t="str">
        <f t="shared" si="11"/>
        <v>Medium (5-14h)</v>
      </c>
      <c r="Q224" s="2"/>
    </row>
    <row r="225" spans="1:17">
      <c r="A225" s="2">
        <v>1224</v>
      </c>
      <c r="B225" s="4" t="s">
        <v>329</v>
      </c>
      <c r="C225" s="2" t="s">
        <v>101</v>
      </c>
      <c r="D225" s="2" t="s">
        <v>29</v>
      </c>
      <c r="E225" s="2" t="s">
        <v>102</v>
      </c>
      <c r="F225" s="2">
        <v>12382</v>
      </c>
      <c r="G225" s="2">
        <v>13</v>
      </c>
      <c r="H225" s="2">
        <v>3</v>
      </c>
      <c r="I225" s="2">
        <v>3</v>
      </c>
      <c r="J225" s="2" t="s">
        <v>67</v>
      </c>
      <c r="K225" s="2" t="s">
        <v>67</v>
      </c>
      <c r="L225">
        <f t="shared" si="9"/>
        <v>0</v>
      </c>
      <c r="M225" t="str">
        <f t="shared" si="10"/>
        <v>High</v>
      </c>
      <c r="N225" t="str">
        <f t="shared" si="11"/>
        <v>Medium (5-14h)</v>
      </c>
      <c r="Q225" s="2"/>
    </row>
    <row r="226" spans="1:17">
      <c r="A226" s="2">
        <v>1225</v>
      </c>
      <c r="B226" s="4" t="s">
        <v>617</v>
      </c>
      <c r="C226" s="2" t="s">
        <v>24</v>
      </c>
      <c r="D226" s="2" t="s">
        <v>25</v>
      </c>
      <c r="E226" s="2" t="s">
        <v>26</v>
      </c>
      <c r="F226" s="2">
        <v>9911</v>
      </c>
      <c r="G226" s="2">
        <v>5</v>
      </c>
      <c r="H226" s="2">
        <v>2</v>
      </c>
      <c r="I226" s="2">
        <v>3</v>
      </c>
      <c r="J226" s="2" t="s">
        <v>67</v>
      </c>
      <c r="K226" s="2" t="s">
        <v>67</v>
      </c>
      <c r="L226">
        <f t="shared" si="9"/>
        <v>0</v>
      </c>
      <c r="M226" t="str">
        <f t="shared" si="10"/>
        <v>High</v>
      </c>
      <c r="N226" t="str">
        <f t="shared" si="11"/>
        <v>Medium (5-14h)</v>
      </c>
      <c r="Q226" s="2"/>
    </row>
    <row r="227" spans="1:17">
      <c r="A227" s="2">
        <v>1226</v>
      </c>
      <c r="B227" s="4" t="s">
        <v>618</v>
      </c>
      <c r="C227" s="2" t="s">
        <v>12</v>
      </c>
      <c r="D227" s="2" t="s">
        <v>13</v>
      </c>
      <c r="E227" s="2" t="s">
        <v>14</v>
      </c>
      <c r="F227" s="2">
        <v>11013</v>
      </c>
      <c r="G227" s="2">
        <v>0</v>
      </c>
      <c r="H227" s="2">
        <v>4</v>
      </c>
      <c r="I227" s="2">
        <v>1</v>
      </c>
      <c r="J227" s="2" t="s">
        <v>67</v>
      </c>
      <c r="K227" s="2" t="s">
        <v>67</v>
      </c>
      <c r="L227">
        <f t="shared" si="9"/>
        <v>0</v>
      </c>
      <c r="M227" t="str">
        <f t="shared" si="10"/>
        <v>High</v>
      </c>
      <c r="N227" t="str">
        <f t="shared" si="11"/>
        <v>Low (&lt;5h)</v>
      </c>
      <c r="Q227" s="2"/>
    </row>
    <row r="228" spans="1:17">
      <c r="A228" s="2">
        <v>1227</v>
      </c>
      <c r="B228" s="4" t="s">
        <v>619</v>
      </c>
      <c r="C228" s="2" t="s">
        <v>233</v>
      </c>
      <c r="D228" s="2" t="s">
        <v>49</v>
      </c>
      <c r="E228" s="2" t="s">
        <v>50</v>
      </c>
      <c r="F228" s="2">
        <v>5300</v>
      </c>
      <c r="G228" s="2">
        <v>5</v>
      </c>
      <c r="H228" s="2">
        <v>2</v>
      </c>
      <c r="I228" s="2">
        <v>4</v>
      </c>
      <c r="J228" s="2" t="s">
        <v>169</v>
      </c>
      <c r="K228" s="2" t="s">
        <v>67</v>
      </c>
      <c r="L228">
        <f t="shared" si="9"/>
        <v>0</v>
      </c>
      <c r="M228" t="str">
        <f t="shared" si="10"/>
        <v>Mid</v>
      </c>
      <c r="N228" t="str">
        <f t="shared" si="11"/>
        <v>Medium (5-14h)</v>
      </c>
      <c r="Q228" s="2"/>
    </row>
    <row r="229" spans="1:17">
      <c r="A229" s="2">
        <v>1228</v>
      </c>
      <c r="B229" s="4" t="s">
        <v>620</v>
      </c>
      <c r="C229" s="2" t="s">
        <v>24</v>
      </c>
      <c r="D229" s="2" t="s">
        <v>25</v>
      </c>
      <c r="E229" s="2" t="s">
        <v>148</v>
      </c>
      <c r="F229" s="2">
        <v>4135</v>
      </c>
      <c r="G229" s="2">
        <v>5</v>
      </c>
      <c r="H229" s="2">
        <v>4</v>
      </c>
      <c r="I229" s="2">
        <v>3</v>
      </c>
      <c r="J229" s="2" t="s">
        <v>67</v>
      </c>
      <c r="K229" s="2" t="s">
        <v>67</v>
      </c>
      <c r="L229">
        <f t="shared" si="9"/>
        <v>0</v>
      </c>
      <c r="M229" t="str">
        <f t="shared" si="10"/>
        <v>Low</v>
      </c>
      <c r="N229" t="str">
        <f t="shared" si="11"/>
        <v>Medium (5-14h)</v>
      </c>
      <c r="Q229" s="2"/>
    </row>
    <row r="230" spans="1:17">
      <c r="A230" s="2">
        <v>1229</v>
      </c>
      <c r="B230" s="4" t="s">
        <v>621</v>
      </c>
      <c r="C230" s="2" t="s">
        <v>101</v>
      </c>
      <c r="D230" s="2" t="s">
        <v>29</v>
      </c>
      <c r="E230" s="2" t="s">
        <v>102</v>
      </c>
      <c r="F230" s="2">
        <v>7541</v>
      </c>
      <c r="G230" s="2">
        <v>10</v>
      </c>
      <c r="H230" s="2">
        <v>1</v>
      </c>
      <c r="I230" s="2">
        <v>2</v>
      </c>
      <c r="J230" s="2" t="s">
        <v>67</v>
      </c>
      <c r="K230" s="2" t="s">
        <v>67</v>
      </c>
      <c r="L230">
        <f t="shared" si="9"/>
        <v>0</v>
      </c>
      <c r="M230" t="str">
        <f t="shared" si="10"/>
        <v>Mid</v>
      </c>
      <c r="N230" t="str">
        <f t="shared" si="11"/>
        <v>Medium (5-14h)</v>
      </c>
      <c r="Q230" s="2"/>
    </row>
    <row r="231" spans="1:17">
      <c r="A231" s="2">
        <v>1230</v>
      </c>
      <c r="B231" s="4" t="s">
        <v>622</v>
      </c>
      <c r="C231" s="2" t="s">
        <v>33</v>
      </c>
      <c r="D231" s="2" t="s">
        <v>19</v>
      </c>
      <c r="E231" s="2" t="s">
        <v>112</v>
      </c>
      <c r="F231" s="2">
        <v>5010</v>
      </c>
      <c r="G231" s="2">
        <v>13</v>
      </c>
      <c r="H231" s="2">
        <v>3</v>
      </c>
      <c r="I231" s="2">
        <v>4</v>
      </c>
      <c r="J231" s="2" t="s">
        <v>67</v>
      </c>
      <c r="K231" s="2" t="s">
        <v>67</v>
      </c>
      <c r="L231">
        <f t="shared" si="9"/>
        <v>0</v>
      </c>
      <c r="M231" t="str">
        <f t="shared" si="10"/>
        <v>Mid</v>
      </c>
      <c r="N231" t="str">
        <f t="shared" si="11"/>
        <v>Medium (5-14h)</v>
      </c>
      <c r="Q231" s="2"/>
    </row>
    <row r="232" spans="1:17">
      <c r="A232" s="2">
        <v>1231</v>
      </c>
      <c r="B232" s="4" t="s">
        <v>623</v>
      </c>
      <c r="C232" s="2" t="s">
        <v>33</v>
      </c>
      <c r="D232" s="2" t="s">
        <v>25</v>
      </c>
      <c r="E232" s="2" t="s">
        <v>26</v>
      </c>
      <c r="F232" s="2">
        <v>9206</v>
      </c>
      <c r="G232" s="2">
        <v>6</v>
      </c>
      <c r="H232" s="2">
        <v>3</v>
      </c>
      <c r="I232" s="2">
        <v>4</v>
      </c>
      <c r="J232" s="2" t="s">
        <v>67</v>
      </c>
      <c r="K232" s="2" t="s">
        <v>67</v>
      </c>
      <c r="L232">
        <f t="shared" si="9"/>
        <v>0</v>
      </c>
      <c r="M232" t="str">
        <f t="shared" si="10"/>
        <v>High</v>
      </c>
      <c r="N232" t="str">
        <f t="shared" si="11"/>
        <v>Medium (5-14h)</v>
      </c>
      <c r="Q232" s="2"/>
    </row>
    <row r="233" spans="1:17">
      <c r="A233" s="2">
        <v>1232</v>
      </c>
      <c r="B233" s="4" t="s">
        <v>624</v>
      </c>
      <c r="C233" s="2" t="s">
        <v>233</v>
      </c>
      <c r="D233" s="2" t="s">
        <v>49</v>
      </c>
      <c r="E233" s="2" t="s">
        <v>50</v>
      </c>
      <c r="F233" s="2">
        <v>10323</v>
      </c>
      <c r="G233" s="2">
        <v>4</v>
      </c>
      <c r="H233" s="2">
        <v>3</v>
      </c>
      <c r="I233" s="2">
        <v>2</v>
      </c>
      <c r="J233" s="2" t="s">
        <v>169</v>
      </c>
      <c r="K233" s="2" t="s">
        <v>67</v>
      </c>
      <c r="L233">
        <f t="shared" si="9"/>
        <v>0</v>
      </c>
      <c r="M233" t="str">
        <f t="shared" si="10"/>
        <v>High</v>
      </c>
      <c r="N233" t="str">
        <f t="shared" si="11"/>
        <v>Low (&lt;5h)</v>
      </c>
      <c r="Q233" s="2"/>
    </row>
    <row r="234" spans="1:17">
      <c r="A234" s="2">
        <v>1233</v>
      </c>
      <c r="B234" s="4" t="s">
        <v>625</v>
      </c>
      <c r="C234" s="2" t="s">
        <v>12</v>
      </c>
      <c r="D234" s="2" t="s">
        <v>13</v>
      </c>
      <c r="E234" s="2" t="s">
        <v>44</v>
      </c>
      <c r="F234" s="2">
        <v>3007</v>
      </c>
      <c r="G234" s="2">
        <v>0</v>
      </c>
      <c r="H234" s="2">
        <v>4</v>
      </c>
      <c r="I234" s="2">
        <v>4</v>
      </c>
      <c r="J234" s="2" t="s">
        <v>169</v>
      </c>
      <c r="K234" s="2" t="s">
        <v>67</v>
      </c>
      <c r="L234">
        <f t="shared" si="9"/>
        <v>0</v>
      </c>
      <c r="M234" t="str">
        <f t="shared" si="10"/>
        <v>Low</v>
      </c>
      <c r="N234" t="str">
        <f t="shared" si="11"/>
        <v>Low (&lt;5h)</v>
      </c>
      <c r="Q234" s="2"/>
    </row>
    <row r="235" spans="1:17">
      <c r="A235" s="2">
        <v>1234</v>
      </c>
      <c r="B235" s="4" t="s">
        <v>389</v>
      </c>
      <c r="C235" s="2" t="s">
        <v>12</v>
      </c>
      <c r="D235" s="2" t="s">
        <v>13</v>
      </c>
      <c r="E235" s="2" t="s">
        <v>155</v>
      </c>
      <c r="F235" s="2">
        <v>11643</v>
      </c>
      <c r="G235" s="2">
        <v>11</v>
      </c>
      <c r="H235" s="2">
        <v>2</v>
      </c>
      <c r="I235" s="2">
        <v>2</v>
      </c>
      <c r="J235" s="2" t="s">
        <v>169</v>
      </c>
      <c r="K235" s="2" t="s">
        <v>67</v>
      </c>
      <c r="L235">
        <f t="shared" si="9"/>
        <v>0</v>
      </c>
      <c r="M235" t="str">
        <f t="shared" si="10"/>
        <v>High</v>
      </c>
      <c r="N235" t="str">
        <f t="shared" si="11"/>
        <v>Medium (5-14h)</v>
      </c>
      <c r="Q235" s="2"/>
    </row>
    <row r="236" spans="1:17">
      <c r="A236" s="2">
        <v>1235</v>
      </c>
      <c r="B236" s="4" t="s">
        <v>626</v>
      </c>
      <c r="C236" s="2" t="s">
        <v>12</v>
      </c>
      <c r="D236" s="2" t="s">
        <v>13</v>
      </c>
      <c r="E236" s="2" t="s">
        <v>14</v>
      </c>
      <c r="F236" s="2">
        <v>8005</v>
      </c>
      <c r="G236" s="2">
        <v>16</v>
      </c>
      <c r="H236" s="2">
        <v>1</v>
      </c>
      <c r="I236" s="2">
        <v>4</v>
      </c>
      <c r="J236" s="2" t="s">
        <v>169</v>
      </c>
      <c r="K236" s="2" t="s">
        <v>169</v>
      </c>
      <c r="L236">
        <f t="shared" si="9"/>
        <v>1</v>
      </c>
      <c r="M236" t="str">
        <f t="shared" si="10"/>
        <v>Mid</v>
      </c>
      <c r="N236" t="str">
        <f t="shared" si="11"/>
        <v>High (15h+)</v>
      </c>
      <c r="Q236" s="2"/>
    </row>
    <row r="237" spans="1:17">
      <c r="A237" s="2">
        <v>1236</v>
      </c>
      <c r="B237" s="4" t="s">
        <v>627</v>
      </c>
      <c r="C237" s="2" t="s">
        <v>12</v>
      </c>
      <c r="D237" s="2" t="s">
        <v>13</v>
      </c>
      <c r="E237" s="2" t="s">
        <v>155</v>
      </c>
      <c r="F237" s="2">
        <v>5065</v>
      </c>
      <c r="G237" s="2">
        <v>3</v>
      </c>
      <c r="H237" s="2">
        <v>4</v>
      </c>
      <c r="I237" s="2">
        <v>2</v>
      </c>
      <c r="J237" s="2" t="s">
        <v>67</v>
      </c>
      <c r="K237" s="2" t="s">
        <v>67</v>
      </c>
      <c r="L237">
        <f t="shared" si="9"/>
        <v>0</v>
      </c>
      <c r="M237" t="str">
        <f t="shared" si="10"/>
        <v>Mid</v>
      </c>
      <c r="N237" t="str">
        <f t="shared" si="11"/>
        <v>Low (&lt;5h)</v>
      </c>
      <c r="Q237" s="2"/>
    </row>
    <row r="238" spans="1:17">
      <c r="A238" s="2">
        <v>1237</v>
      </c>
      <c r="B238" s="4" t="s">
        <v>628</v>
      </c>
      <c r="C238" s="2" t="s">
        <v>233</v>
      </c>
      <c r="D238" s="2" t="s">
        <v>49</v>
      </c>
      <c r="E238" s="2" t="s">
        <v>78</v>
      </c>
      <c r="F238" s="2">
        <v>9083</v>
      </c>
      <c r="G238" s="2">
        <v>3</v>
      </c>
      <c r="H238" s="2">
        <v>4</v>
      </c>
      <c r="I238" s="2">
        <v>3</v>
      </c>
      <c r="J238" s="2" t="s">
        <v>169</v>
      </c>
      <c r="K238" s="2" t="s">
        <v>67</v>
      </c>
      <c r="L238">
        <f t="shared" si="9"/>
        <v>0</v>
      </c>
      <c r="M238" t="str">
        <f t="shared" si="10"/>
        <v>High</v>
      </c>
      <c r="N238" t="str">
        <f t="shared" si="11"/>
        <v>Low (&lt;5h)</v>
      </c>
      <c r="Q238" s="2"/>
    </row>
    <row r="239" spans="1:17">
      <c r="A239" s="2">
        <v>1238</v>
      </c>
      <c r="B239" s="4" t="s">
        <v>429</v>
      </c>
      <c r="C239" s="2" t="s">
        <v>33</v>
      </c>
      <c r="D239" s="2" t="s">
        <v>19</v>
      </c>
      <c r="E239" s="2" t="s">
        <v>20</v>
      </c>
      <c r="F239" s="2">
        <v>9007</v>
      </c>
      <c r="G239" s="2">
        <v>3</v>
      </c>
      <c r="H239" s="2">
        <v>1</v>
      </c>
      <c r="I239" s="2">
        <v>3</v>
      </c>
      <c r="J239" s="2" t="s">
        <v>67</v>
      </c>
      <c r="K239" s="2" t="s">
        <v>67</v>
      </c>
      <c r="L239">
        <f t="shared" si="9"/>
        <v>0</v>
      </c>
      <c r="M239" t="str">
        <f t="shared" si="10"/>
        <v>High</v>
      </c>
      <c r="N239" t="str">
        <f t="shared" si="11"/>
        <v>Low (&lt;5h)</v>
      </c>
      <c r="Q239" s="2"/>
    </row>
    <row r="240" spans="1:17">
      <c r="A240" s="2">
        <v>1239</v>
      </c>
      <c r="B240" s="4" t="s">
        <v>629</v>
      </c>
      <c r="C240" s="2" t="s">
        <v>24</v>
      </c>
      <c r="D240" s="2" t="s">
        <v>25</v>
      </c>
      <c r="E240" s="2" t="s">
        <v>26</v>
      </c>
      <c r="F240" s="2">
        <v>14427</v>
      </c>
      <c r="G240" s="2">
        <v>9</v>
      </c>
      <c r="H240" s="2">
        <v>4</v>
      </c>
      <c r="I240" s="2">
        <v>4</v>
      </c>
      <c r="J240" s="2" t="s">
        <v>169</v>
      </c>
      <c r="K240" s="2" t="s">
        <v>67</v>
      </c>
      <c r="L240">
        <f t="shared" si="9"/>
        <v>0</v>
      </c>
      <c r="M240" t="str">
        <f t="shared" si="10"/>
        <v>High</v>
      </c>
      <c r="N240" t="str">
        <f t="shared" si="11"/>
        <v>Medium (5-14h)</v>
      </c>
      <c r="Q240" s="2"/>
    </row>
    <row r="241" spans="1:17">
      <c r="A241" s="2">
        <v>1240</v>
      </c>
      <c r="B241" s="4" t="s">
        <v>630</v>
      </c>
      <c r="C241" s="2" t="s">
        <v>233</v>
      </c>
      <c r="D241" s="2" t="s">
        <v>49</v>
      </c>
      <c r="E241" s="2" t="s">
        <v>78</v>
      </c>
      <c r="F241" s="2">
        <v>11448</v>
      </c>
      <c r="G241" s="2">
        <v>6</v>
      </c>
      <c r="H241" s="2">
        <v>2</v>
      </c>
      <c r="I241" s="2">
        <v>4</v>
      </c>
      <c r="J241" s="2" t="s">
        <v>169</v>
      </c>
      <c r="K241" s="2" t="s">
        <v>67</v>
      </c>
      <c r="L241">
        <f t="shared" si="9"/>
        <v>0</v>
      </c>
      <c r="M241" t="str">
        <f t="shared" si="10"/>
        <v>High</v>
      </c>
      <c r="N241" t="str">
        <f t="shared" si="11"/>
        <v>Medium (5-14h)</v>
      </c>
      <c r="Q241" s="2"/>
    </row>
    <row r="242" spans="1:17">
      <c r="A242" s="2">
        <v>1241</v>
      </c>
      <c r="B242" s="4" t="s">
        <v>631</v>
      </c>
      <c r="C242" s="2" t="s">
        <v>233</v>
      </c>
      <c r="D242" s="2" t="s">
        <v>49</v>
      </c>
      <c r="E242" s="2" t="s">
        <v>78</v>
      </c>
      <c r="F242" s="2">
        <v>2816</v>
      </c>
      <c r="G242" s="2">
        <v>20</v>
      </c>
      <c r="H242" s="2">
        <v>1</v>
      </c>
      <c r="I242" s="2">
        <v>2</v>
      </c>
      <c r="J242" s="2" t="s">
        <v>67</v>
      </c>
      <c r="K242" s="2" t="s">
        <v>67</v>
      </c>
      <c r="L242">
        <f t="shared" si="9"/>
        <v>0</v>
      </c>
      <c r="M242" t="str">
        <f t="shared" si="10"/>
        <v>Low</v>
      </c>
      <c r="N242" t="str">
        <f t="shared" si="11"/>
        <v>High (15h+)</v>
      </c>
      <c r="Q242" s="2"/>
    </row>
    <row r="243" spans="1:17">
      <c r="A243" s="2">
        <v>1242</v>
      </c>
      <c r="B243" s="4" t="s">
        <v>632</v>
      </c>
      <c r="C243" s="2" t="s">
        <v>83</v>
      </c>
      <c r="D243" s="2" t="s">
        <v>56</v>
      </c>
      <c r="E243" s="2" t="s">
        <v>59</v>
      </c>
      <c r="F243" s="2">
        <v>4796</v>
      </c>
      <c r="G243" s="2">
        <v>12</v>
      </c>
      <c r="H243" s="2">
        <v>1</v>
      </c>
      <c r="I243" s="2">
        <v>2</v>
      </c>
      <c r="J243" s="2" t="s">
        <v>169</v>
      </c>
      <c r="K243" s="2" t="s">
        <v>67</v>
      </c>
      <c r="L243">
        <f t="shared" si="9"/>
        <v>0</v>
      </c>
      <c r="M243" t="str">
        <f t="shared" si="10"/>
        <v>Mid</v>
      </c>
      <c r="N243" t="str">
        <f t="shared" si="11"/>
        <v>Medium (5-14h)</v>
      </c>
      <c r="Q243" s="2"/>
    </row>
    <row r="244" spans="1:17">
      <c r="A244" s="2">
        <v>1243</v>
      </c>
      <c r="B244" s="4" t="s">
        <v>633</v>
      </c>
      <c r="C244" s="2" t="s">
        <v>12</v>
      </c>
      <c r="D244" s="2" t="s">
        <v>13</v>
      </c>
      <c r="E244" s="2" t="s">
        <v>155</v>
      </c>
      <c r="F244" s="2">
        <v>3309</v>
      </c>
      <c r="G244" s="2">
        <v>4</v>
      </c>
      <c r="H244" s="2">
        <v>3</v>
      </c>
      <c r="I244" s="2">
        <v>3</v>
      </c>
      <c r="J244" s="2" t="s">
        <v>169</v>
      </c>
      <c r="K244" s="2" t="s">
        <v>67</v>
      </c>
      <c r="L244">
        <f t="shared" si="9"/>
        <v>0</v>
      </c>
      <c r="M244" t="str">
        <f t="shared" si="10"/>
        <v>Low</v>
      </c>
      <c r="N244" t="str">
        <f t="shared" si="11"/>
        <v>Low (&lt;5h)</v>
      </c>
      <c r="Q244" s="2"/>
    </row>
    <row r="245" spans="1:17">
      <c r="A245" s="2">
        <v>1244</v>
      </c>
      <c r="B245" s="4" t="s">
        <v>417</v>
      </c>
      <c r="C245" s="2" t="s">
        <v>233</v>
      </c>
      <c r="D245" s="2" t="s">
        <v>49</v>
      </c>
      <c r="E245" s="2" t="s">
        <v>50</v>
      </c>
      <c r="F245" s="2">
        <v>4489</v>
      </c>
      <c r="G245" s="2">
        <v>10</v>
      </c>
      <c r="H245" s="2">
        <v>1</v>
      </c>
      <c r="I245" s="2">
        <v>3</v>
      </c>
      <c r="J245" s="2" t="s">
        <v>67</v>
      </c>
      <c r="K245" s="2" t="s">
        <v>67</v>
      </c>
      <c r="L245">
        <f t="shared" si="9"/>
        <v>0</v>
      </c>
      <c r="M245" t="str">
        <f t="shared" si="10"/>
        <v>Low</v>
      </c>
      <c r="N245" t="str">
        <f t="shared" si="11"/>
        <v>Medium (5-14h)</v>
      </c>
      <c r="Q245" s="2"/>
    </row>
    <row r="246" spans="1:17">
      <c r="A246" s="2">
        <v>1245</v>
      </c>
      <c r="B246" s="4" t="s">
        <v>634</v>
      </c>
      <c r="C246" s="2" t="s">
        <v>33</v>
      </c>
      <c r="D246" s="2" t="s">
        <v>19</v>
      </c>
      <c r="E246" s="2" t="s">
        <v>20</v>
      </c>
      <c r="F246" s="2">
        <v>12828</v>
      </c>
      <c r="G246" s="2">
        <v>11</v>
      </c>
      <c r="H246" s="2">
        <v>3</v>
      </c>
      <c r="I246" s="2">
        <v>4</v>
      </c>
      <c r="J246" s="2" t="s">
        <v>67</v>
      </c>
      <c r="K246" s="2" t="s">
        <v>67</v>
      </c>
      <c r="L246">
        <f t="shared" si="9"/>
        <v>0</v>
      </c>
      <c r="M246" t="str">
        <f t="shared" si="10"/>
        <v>High</v>
      </c>
      <c r="N246" t="str">
        <f t="shared" si="11"/>
        <v>Medium (5-14h)</v>
      </c>
      <c r="Q246" s="2"/>
    </row>
    <row r="247" spans="1:17">
      <c r="A247" s="2">
        <v>1246</v>
      </c>
      <c r="B247" s="4" t="s">
        <v>635</v>
      </c>
      <c r="C247" s="2" t="s">
        <v>33</v>
      </c>
      <c r="D247" s="2" t="s">
        <v>19</v>
      </c>
      <c r="E247" s="2" t="s">
        <v>34</v>
      </c>
      <c r="F247" s="2">
        <v>14038</v>
      </c>
      <c r="G247" s="2">
        <v>7</v>
      </c>
      <c r="H247" s="2">
        <v>4</v>
      </c>
      <c r="I247" s="2">
        <v>2</v>
      </c>
      <c r="J247" s="2" t="s">
        <v>67</v>
      </c>
      <c r="K247" s="2" t="s">
        <v>67</v>
      </c>
      <c r="L247">
        <f t="shared" si="9"/>
        <v>0</v>
      </c>
      <c r="M247" t="str">
        <f t="shared" si="10"/>
        <v>High</v>
      </c>
      <c r="N247" t="str">
        <f t="shared" si="11"/>
        <v>Medium (5-14h)</v>
      </c>
      <c r="Q247" s="2"/>
    </row>
    <row r="248" spans="1:17">
      <c r="A248" s="2">
        <v>1247</v>
      </c>
      <c r="B248" s="4" t="s">
        <v>134</v>
      </c>
      <c r="C248" s="2" t="s">
        <v>33</v>
      </c>
      <c r="D248" s="2" t="s">
        <v>19</v>
      </c>
      <c r="E248" s="2" t="s">
        <v>34</v>
      </c>
      <c r="F248" s="2">
        <v>6191</v>
      </c>
      <c r="G248" s="2">
        <v>2</v>
      </c>
      <c r="H248" s="2">
        <v>1</v>
      </c>
      <c r="I248" s="2">
        <v>1</v>
      </c>
      <c r="J248" s="2" t="s">
        <v>169</v>
      </c>
      <c r="K248" s="2" t="s">
        <v>67</v>
      </c>
      <c r="L248">
        <f t="shared" si="9"/>
        <v>0</v>
      </c>
      <c r="M248" t="str">
        <f t="shared" si="10"/>
        <v>Mid</v>
      </c>
      <c r="N248" t="str">
        <f t="shared" si="11"/>
        <v>Low (&lt;5h)</v>
      </c>
      <c r="Q248" s="2"/>
    </row>
    <row r="249" spans="1:17">
      <c r="A249" s="2">
        <v>1248</v>
      </c>
      <c r="B249" s="4" t="s">
        <v>636</v>
      </c>
      <c r="C249" s="2" t="s">
        <v>83</v>
      </c>
      <c r="D249" s="2" t="s">
        <v>56</v>
      </c>
      <c r="E249" s="2" t="s">
        <v>59</v>
      </c>
      <c r="F249" s="2">
        <v>9403</v>
      </c>
      <c r="G249" s="2">
        <v>0</v>
      </c>
      <c r="H249" s="2">
        <v>3</v>
      </c>
      <c r="I249" s="2">
        <v>3</v>
      </c>
      <c r="J249" s="2" t="s">
        <v>169</v>
      </c>
      <c r="K249" s="2" t="s">
        <v>67</v>
      </c>
      <c r="L249">
        <f t="shared" si="9"/>
        <v>0</v>
      </c>
      <c r="M249" t="str">
        <f t="shared" si="10"/>
        <v>High</v>
      </c>
      <c r="N249" t="str">
        <f t="shared" si="11"/>
        <v>Low (&lt;5h)</v>
      </c>
      <c r="Q249" s="2"/>
    </row>
    <row r="250" spans="1:17">
      <c r="A250" s="2">
        <v>1249</v>
      </c>
      <c r="B250" s="4" t="s">
        <v>637</v>
      </c>
      <c r="C250" s="2" t="s">
        <v>33</v>
      </c>
      <c r="D250" s="2" t="s">
        <v>19</v>
      </c>
      <c r="E250" s="2" t="s">
        <v>20</v>
      </c>
      <c r="F250" s="2">
        <v>3011</v>
      </c>
      <c r="G250" s="2">
        <v>17</v>
      </c>
      <c r="H250" s="2">
        <v>1</v>
      </c>
      <c r="I250" s="2">
        <v>2</v>
      </c>
      <c r="J250" s="2" t="s">
        <v>67</v>
      </c>
      <c r="K250" s="2" t="s">
        <v>67</v>
      </c>
      <c r="L250">
        <f t="shared" si="9"/>
        <v>0</v>
      </c>
      <c r="M250" t="str">
        <f t="shared" si="10"/>
        <v>Low</v>
      </c>
      <c r="N250" t="str">
        <f t="shared" si="11"/>
        <v>High (15h+)</v>
      </c>
      <c r="Q250" s="2"/>
    </row>
    <row r="251" spans="1:17">
      <c r="A251" s="2">
        <v>1250</v>
      </c>
      <c r="B251" s="4" t="s">
        <v>427</v>
      </c>
      <c r="C251" s="2" t="s">
        <v>12</v>
      </c>
      <c r="D251" s="2" t="s">
        <v>13</v>
      </c>
      <c r="E251" s="2" t="s">
        <v>14</v>
      </c>
      <c r="F251" s="2">
        <v>11816</v>
      </c>
      <c r="G251" s="2">
        <v>8</v>
      </c>
      <c r="H251" s="2">
        <v>3</v>
      </c>
      <c r="I251" s="2">
        <v>4</v>
      </c>
      <c r="J251" s="2" t="s">
        <v>169</v>
      </c>
      <c r="K251" s="2" t="s">
        <v>67</v>
      </c>
      <c r="L251">
        <f t="shared" si="9"/>
        <v>0</v>
      </c>
      <c r="M251" t="str">
        <f t="shared" si="10"/>
        <v>High</v>
      </c>
      <c r="N251" t="str">
        <f t="shared" si="11"/>
        <v>Medium (5-14h)</v>
      </c>
      <c r="Q251" s="2"/>
    </row>
    <row r="252" spans="1:17">
      <c r="A252" s="2">
        <v>1251</v>
      </c>
      <c r="B252" s="4" t="s">
        <v>483</v>
      </c>
      <c r="C252" s="2" t="s">
        <v>24</v>
      </c>
      <c r="D252" s="2" t="s">
        <v>25</v>
      </c>
      <c r="E252" s="2" t="s">
        <v>148</v>
      </c>
      <c r="F252" s="2">
        <v>5204</v>
      </c>
      <c r="G252" s="2">
        <v>12</v>
      </c>
      <c r="H252" s="2">
        <v>1</v>
      </c>
      <c r="I252" s="2">
        <v>2</v>
      </c>
      <c r="J252" s="2" t="s">
        <v>67</v>
      </c>
      <c r="K252" s="2" t="s">
        <v>67</v>
      </c>
      <c r="L252">
        <f t="shared" si="9"/>
        <v>0</v>
      </c>
      <c r="M252" t="str">
        <f t="shared" si="10"/>
        <v>Mid</v>
      </c>
      <c r="N252" t="str">
        <f t="shared" si="11"/>
        <v>Medium (5-14h)</v>
      </c>
      <c r="Q252" s="2"/>
    </row>
    <row r="253" spans="1:17">
      <c r="A253" s="2">
        <v>1252</v>
      </c>
      <c r="B253" s="4" t="s">
        <v>638</v>
      </c>
      <c r="C253" s="2" t="s">
        <v>83</v>
      </c>
      <c r="D253" s="2" t="s">
        <v>56</v>
      </c>
      <c r="E253" s="2" t="s">
        <v>59</v>
      </c>
      <c r="F253" s="2">
        <v>13402</v>
      </c>
      <c r="G253" s="2">
        <v>16</v>
      </c>
      <c r="H253" s="2">
        <v>1</v>
      </c>
      <c r="I253" s="2">
        <v>4</v>
      </c>
      <c r="J253" s="2" t="s">
        <v>169</v>
      </c>
      <c r="K253" s="2" t="s">
        <v>169</v>
      </c>
      <c r="L253">
        <f t="shared" si="9"/>
        <v>1</v>
      </c>
      <c r="M253" t="str">
        <f t="shared" si="10"/>
        <v>High</v>
      </c>
      <c r="N253" t="str">
        <f t="shared" si="11"/>
        <v>High (15h+)</v>
      </c>
      <c r="Q253" s="2"/>
    </row>
    <row r="254" spans="1:17">
      <c r="A254" s="2">
        <v>1253</v>
      </c>
      <c r="B254" s="4" t="s">
        <v>639</v>
      </c>
      <c r="C254" s="2" t="s">
        <v>233</v>
      </c>
      <c r="D254" s="2" t="s">
        <v>49</v>
      </c>
      <c r="E254" s="2" t="s">
        <v>62</v>
      </c>
      <c r="F254" s="2">
        <v>14100</v>
      </c>
      <c r="G254" s="2">
        <v>19</v>
      </c>
      <c r="H254" s="2">
        <v>2</v>
      </c>
      <c r="I254" s="2">
        <v>3</v>
      </c>
      <c r="J254" s="2" t="s">
        <v>169</v>
      </c>
      <c r="K254" s="2" t="s">
        <v>67</v>
      </c>
      <c r="L254">
        <f t="shared" si="9"/>
        <v>0</v>
      </c>
      <c r="M254" t="str">
        <f t="shared" si="10"/>
        <v>High</v>
      </c>
      <c r="N254" t="str">
        <f t="shared" si="11"/>
        <v>High (15h+)</v>
      </c>
      <c r="Q254" s="2"/>
    </row>
    <row r="255" spans="1:17">
      <c r="A255" s="2">
        <v>1254</v>
      </c>
      <c r="B255" s="4" t="s">
        <v>129</v>
      </c>
      <c r="C255" s="2" t="s">
        <v>33</v>
      </c>
      <c r="D255" s="2" t="s">
        <v>19</v>
      </c>
      <c r="E255" s="2" t="s">
        <v>34</v>
      </c>
      <c r="F255" s="2">
        <v>5234</v>
      </c>
      <c r="G255" s="2">
        <v>15</v>
      </c>
      <c r="H255" s="2">
        <v>2</v>
      </c>
      <c r="I255" s="2">
        <v>3</v>
      </c>
      <c r="J255" s="2" t="s">
        <v>169</v>
      </c>
      <c r="K255" s="2" t="s">
        <v>67</v>
      </c>
      <c r="L255">
        <f t="shared" si="9"/>
        <v>0</v>
      </c>
      <c r="M255" t="str">
        <f t="shared" si="10"/>
        <v>Mid</v>
      </c>
      <c r="N255" t="str">
        <f t="shared" si="11"/>
        <v>High (15h+)</v>
      </c>
      <c r="Q255" s="2"/>
    </row>
    <row r="256" spans="1:17">
      <c r="A256" s="2">
        <v>1255</v>
      </c>
      <c r="B256" s="4" t="s">
        <v>640</v>
      </c>
      <c r="C256" s="2" t="s">
        <v>33</v>
      </c>
      <c r="D256" s="2" t="s">
        <v>19</v>
      </c>
      <c r="E256" s="2" t="s">
        <v>34</v>
      </c>
      <c r="F256" s="2">
        <v>13323</v>
      </c>
      <c r="G256" s="2">
        <v>4</v>
      </c>
      <c r="H256" s="2">
        <v>3</v>
      </c>
      <c r="I256" s="2">
        <v>1</v>
      </c>
      <c r="J256" s="2" t="s">
        <v>67</v>
      </c>
      <c r="K256" s="2" t="s">
        <v>67</v>
      </c>
      <c r="L256">
        <f t="shared" si="9"/>
        <v>0</v>
      </c>
      <c r="M256" t="str">
        <f t="shared" si="10"/>
        <v>High</v>
      </c>
      <c r="N256" t="str">
        <f t="shared" si="11"/>
        <v>Low (&lt;5h)</v>
      </c>
      <c r="Q256" s="2"/>
    </row>
    <row r="257" spans="1:17">
      <c r="A257" s="2">
        <v>1256</v>
      </c>
      <c r="B257" s="4" t="s">
        <v>641</v>
      </c>
      <c r="C257" s="2" t="s">
        <v>33</v>
      </c>
      <c r="D257" s="2" t="s">
        <v>29</v>
      </c>
      <c r="E257" s="2" t="s">
        <v>30</v>
      </c>
      <c r="F257" s="2">
        <v>11459</v>
      </c>
      <c r="G257" s="2">
        <v>16</v>
      </c>
      <c r="H257" s="2">
        <v>2</v>
      </c>
      <c r="I257" s="2">
        <v>3</v>
      </c>
      <c r="J257" s="2" t="s">
        <v>67</v>
      </c>
      <c r="K257" s="2" t="s">
        <v>67</v>
      </c>
      <c r="L257">
        <f t="shared" si="9"/>
        <v>0</v>
      </c>
      <c r="M257" t="str">
        <f t="shared" si="10"/>
        <v>High</v>
      </c>
      <c r="N257" t="str">
        <f t="shared" si="11"/>
        <v>High (15h+)</v>
      </c>
      <c r="Q257" s="2"/>
    </row>
    <row r="258" spans="1:17">
      <c r="A258" s="2">
        <v>1257</v>
      </c>
      <c r="B258" s="4" t="s">
        <v>642</v>
      </c>
      <c r="C258" s="2" t="s">
        <v>101</v>
      </c>
      <c r="D258" s="2" t="s">
        <v>29</v>
      </c>
      <c r="E258" s="2" t="s">
        <v>102</v>
      </c>
      <c r="F258" s="2">
        <v>4949</v>
      </c>
      <c r="G258" s="2">
        <v>2</v>
      </c>
      <c r="H258" s="2">
        <v>4</v>
      </c>
      <c r="I258" s="2">
        <v>4</v>
      </c>
      <c r="J258" s="2" t="s">
        <v>169</v>
      </c>
      <c r="K258" s="2" t="s">
        <v>67</v>
      </c>
      <c r="L258">
        <f t="shared" si="9"/>
        <v>0</v>
      </c>
      <c r="M258" t="str">
        <f t="shared" si="10"/>
        <v>Mid</v>
      </c>
      <c r="N258" t="str">
        <f t="shared" si="11"/>
        <v>Low (&lt;5h)</v>
      </c>
      <c r="Q258" s="2"/>
    </row>
    <row r="259" spans="1:17">
      <c r="A259" s="2">
        <v>1258</v>
      </c>
      <c r="B259" s="4" t="s">
        <v>643</v>
      </c>
      <c r="C259" s="2" t="s">
        <v>33</v>
      </c>
      <c r="D259" s="2" t="s">
        <v>19</v>
      </c>
      <c r="E259" s="2" t="s">
        <v>112</v>
      </c>
      <c r="F259" s="2">
        <v>11179</v>
      </c>
      <c r="G259" s="2">
        <v>8</v>
      </c>
      <c r="H259" s="2">
        <v>3</v>
      </c>
      <c r="I259" s="2">
        <v>3</v>
      </c>
      <c r="J259" s="2" t="s">
        <v>169</v>
      </c>
      <c r="K259" s="2" t="s">
        <v>67</v>
      </c>
      <c r="L259">
        <f t="shared" ref="L259:L301" si="12">IF(K259="YES",1,0)</f>
        <v>0</v>
      </c>
      <c r="M259" t="str">
        <f t="shared" ref="M259:M301" si="13">IF(F259&lt;4500,"Low",IF(F259&lt;9000,"Mid","High"))</f>
        <v>High</v>
      </c>
      <c r="N259" t="str">
        <f t="shared" ref="N259:N301" si="14">IF(G259&lt;5,"Low (&lt;5h)",IF(G259&lt;15,"Medium (5-14h)","High (15h+)"))</f>
        <v>Medium (5-14h)</v>
      </c>
      <c r="Q259" s="2"/>
    </row>
    <row r="260" spans="1:17">
      <c r="A260" s="2">
        <v>1259</v>
      </c>
      <c r="B260" s="4" t="s">
        <v>313</v>
      </c>
      <c r="C260" s="2" t="s">
        <v>33</v>
      </c>
      <c r="D260" s="2" t="s">
        <v>49</v>
      </c>
      <c r="E260" s="2" t="s">
        <v>62</v>
      </c>
      <c r="F260" s="2">
        <v>6223</v>
      </c>
      <c r="G260" s="2">
        <v>13</v>
      </c>
      <c r="H260" s="2">
        <v>1</v>
      </c>
      <c r="I260" s="2">
        <v>2</v>
      </c>
      <c r="J260" s="2" t="s">
        <v>169</v>
      </c>
      <c r="K260" s="2" t="s">
        <v>67</v>
      </c>
      <c r="L260">
        <f t="shared" si="12"/>
        <v>0</v>
      </c>
      <c r="M260" t="str">
        <f t="shared" si="13"/>
        <v>Mid</v>
      </c>
      <c r="N260" t="str">
        <f t="shared" si="14"/>
        <v>Medium (5-14h)</v>
      </c>
      <c r="Q260" s="2"/>
    </row>
    <row r="261" spans="1:17">
      <c r="A261" s="2">
        <v>1260</v>
      </c>
      <c r="B261" s="4" t="s">
        <v>644</v>
      </c>
      <c r="C261" s="2" t="s">
        <v>33</v>
      </c>
      <c r="D261" s="2" t="s">
        <v>56</v>
      </c>
      <c r="E261" s="2" t="s">
        <v>57</v>
      </c>
      <c r="F261" s="2">
        <v>6734</v>
      </c>
      <c r="G261" s="2">
        <v>0</v>
      </c>
      <c r="H261" s="2">
        <v>3</v>
      </c>
      <c r="I261" s="2">
        <v>4</v>
      </c>
      <c r="J261" s="2" t="s">
        <v>169</v>
      </c>
      <c r="K261" s="2" t="s">
        <v>67</v>
      </c>
      <c r="L261">
        <f t="shared" si="12"/>
        <v>0</v>
      </c>
      <c r="M261" t="str">
        <f t="shared" si="13"/>
        <v>Mid</v>
      </c>
      <c r="N261" t="str">
        <f t="shared" si="14"/>
        <v>Low (&lt;5h)</v>
      </c>
      <c r="Q261" s="2"/>
    </row>
    <row r="262" spans="1:17">
      <c r="A262" s="2">
        <v>1261</v>
      </c>
      <c r="B262" s="4" t="s">
        <v>645</v>
      </c>
      <c r="C262" s="2" t="s">
        <v>101</v>
      </c>
      <c r="D262" s="2" t="s">
        <v>29</v>
      </c>
      <c r="E262" s="2" t="s">
        <v>102</v>
      </c>
      <c r="F262" s="2">
        <v>3755</v>
      </c>
      <c r="G262" s="2">
        <v>11</v>
      </c>
      <c r="H262" s="2">
        <v>3</v>
      </c>
      <c r="I262" s="2">
        <v>4</v>
      </c>
      <c r="J262" s="2" t="s">
        <v>169</v>
      </c>
      <c r="K262" s="2" t="s">
        <v>67</v>
      </c>
      <c r="L262">
        <f t="shared" si="12"/>
        <v>0</v>
      </c>
      <c r="M262" t="str">
        <f t="shared" si="13"/>
        <v>Low</v>
      </c>
      <c r="N262" t="str">
        <f t="shared" si="14"/>
        <v>Medium (5-14h)</v>
      </c>
      <c r="Q262" s="2"/>
    </row>
    <row r="263" spans="1:17">
      <c r="A263" s="2">
        <v>1262</v>
      </c>
      <c r="B263" s="4" t="s">
        <v>347</v>
      </c>
      <c r="C263" s="2" t="s">
        <v>24</v>
      </c>
      <c r="D263" s="2" t="s">
        <v>25</v>
      </c>
      <c r="E263" s="2" t="s">
        <v>38</v>
      </c>
      <c r="F263" s="2">
        <v>14202</v>
      </c>
      <c r="G263" s="2">
        <v>5</v>
      </c>
      <c r="H263" s="2">
        <v>3</v>
      </c>
      <c r="I263" s="2">
        <v>3</v>
      </c>
      <c r="J263" s="2" t="s">
        <v>169</v>
      </c>
      <c r="K263" s="2" t="s">
        <v>67</v>
      </c>
      <c r="L263">
        <f t="shared" si="12"/>
        <v>0</v>
      </c>
      <c r="M263" t="str">
        <f t="shared" si="13"/>
        <v>High</v>
      </c>
      <c r="N263" t="str">
        <f t="shared" si="14"/>
        <v>Medium (5-14h)</v>
      </c>
      <c r="Q263" s="2"/>
    </row>
    <row r="264" spans="1:17">
      <c r="A264" s="2">
        <v>1263</v>
      </c>
      <c r="B264" s="4" t="s">
        <v>646</v>
      </c>
      <c r="C264" s="2" t="s">
        <v>233</v>
      </c>
      <c r="D264" s="2" t="s">
        <v>49</v>
      </c>
      <c r="E264" s="2" t="s">
        <v>78</v>
      </c>
      <c r="F264" s="2">
        <v>10138</v>
      </c>
      <c r="G264" s="2">
        <v>13</v>
      </c>
      <c r="H264" s="2">
        <v>1</v>
      </c>
      <c r="I264" s="2">
        <v>4</v>
      </c>
      <c r="J264" s="2" t="s">
        <v>169</v>
      </c>
      <c r="K264" s="2" t="s">
        <v>67</v>
      </c>
      <c r="L264">
        <f t="shared" si="12"/>
        <v>0</v>
      </c>
      <c r="M264" t="str">
        <f t="shared" si="13"/>
        <v>High</v>
      </c>
      <c r="N264" t="str">
        <f t="shared" si="14"/>
        <v>Medium (5-14h)</v>
      </c>
      <c r="Q264" s="2"/>
    </row>
    <row r="265" spans="1:17">
      <c r="A265" s="2">
        <v>1264</v>
      </c>
      <c r="B265" s="4" t="s">
        <v>647</v>
      </c>
      <c r="C265" s="2" t="s">
        <v>83</v>
      </c>
      <c r="D265" s="2" t="s">
        <v>56</v>
      </c>
      <c r="E265" s="2" t="s">
        <v>57</v>
      </c>
      <c r="F265" s="2">
        <v>13361</v>
      </c>
      <c r="G265" s="2">
        <v>13</v>
      </c>
      <c r="H265" s="2">
        <v>1</v>
      </c>
      <c r="I265" s="2">
        <v>3</v>
      </c>
      <c r="J265" s="2" t="s">
        <v>67</v>
      </c>
      <c r="K265" s="2" t="s">
        <v>67</v>
      </c>
      <c r="L265">
        <f t="shared" si="12"/>
        <v>0</v>
      </c>
      <c r="M265" t="str">
        <f t="shared" si="13"/>
        <v>High</v>
      </c>
      <c r="N265" t="str">
        <f t="shared" si="14"/>
        <v>Medium (5-14h)</v>
      </c>
      <c r="Q265" s="2"/>
    </row>
    <row r="266" spans="1:17">
      <c r="A266" s="2">
        <v>1265</v>
      </c>
      <c r="B266" s="4" t="s">
        <v>590</v>
      </c>
      <c r="C266" s="2" t="s">
        <v>24</v>
      </c>
      <c r="D266" s="2" t="s">
        <v>25</v>
      </c>
      <c r="E266" s="2" t="s">
        <v>38</v>
      </c>
      <c r="F266" s="2">
        <v>7663</v>
      </c>
      <c r="G266" s="2">
        <v>2</v>
      </c>
      <c r="H266" s="2">
        <v>2</v>
      </c>
      <c r="I266" s="2">
        <v>3</v>
      </c>
      <c r="J266" s="2" t="s">
        <v>169</v>
      </c>
      <c r="K266" s="2" t="s">
        <v>67</v>
      </c>
      <c r="L266">
        <f t="shared" si="12"/>
        <v>0</v>
      </c>
      <c r="M266" t="str">
        <f t="shared" si="13"/>
        <v>Mid</v>
      </c>
      <c r="N266" t="str">
        <f t="shared" si="14"/>
        <v>Low (&lt;5h)</v>
      </c>
      <c r="Q266" s="2"/>
    </row>
    <row r="267" spans="1:17">
      <c r="A267" s="2">
        <v>1266</v>
      </c>
      <c r="B267" s="4" t="s">
        <v>648</v>
      </c>
      <c r="C267" s="2" t="s">
        <v>233</v>
      </c>
      <c r="D267" s="2" t="s">
        <v>49</v>
      </c>
      <c r="E267" s="2" t="s">
        <v>78</v>
      </c>
      <c r="F267" s="2">
        <v>9314</v>
      </c>
      <c r="G267" s="2">
        <v>6</v>
      </c>
      <c r="H267" s="2">
        <v>3</v>
      </c>
      <c r="I267" s="2">
        <v>4</v>
      </c>
      <c r="J267" s="2" t="s">
        <v>169</v>
      </c>
      <c r="K267" s="2" t="s">
        <v>67</v>
      </c>
      <c r="L267">
        <f t="shared" si="12"/>
        <v>0</v>
      </c>
      <c r="M267" t="str">
        <f t="shared" si="13"/>
        <v>High</v>
      </c>
      <c r="N267" t="str">
        <f t="shared" si="14"/>
        <v>Medium (5-14h)</v>
      </c>
      <c r="Q267" s="2"/>
    </row>
    <row r="268" spans="1:17">
      <c r="A268" s="2">
        <v>1267</v>
      </c>
      <c r="B268" s="4" t="s">
        <v>649</v>
      </c>
      <c r="C268" s="2" t="s">
        <v>101</v>
      </c>
      <c r="D268" s="2" t="s">
        <v>29</v>
      </c>
      <c r="E268" s="2" t="s">
        <v>102</v>
      </c>
      <c r="F268" s="2">
        <v>5742</v>
      </c>
      <c r="G268" s="2">
        <v>0</v>
      </c>
      <c r="H268" s="2">
        <v>3</v>
      </c>
      <c r="I268" s="2">
        <v>3</v>
      </c>
      <c r="J268" s="2" t="s">
        <v>169</v>
      </c>
      <c r="K268" s="2" t="s">
        <v>67</v>
      </c>
      <c r="L268">
        <f t="shared" si="12"/>
        <v>0</v>
      </c>
      <c r="M268" t="str">
        <f t="shared" si="13"/>
        <v>Mid</v>
      </c>
      <c r="N268" t="str">
        <f t="shared" si="14"/>
        <v>Low (&lt;5h)</v>
      </c>
      <c r="Q268" s="2"/>
    </row>
    <row r="269" spans="1:17">
      <c r="A269" s="2">
        <v>1268</v>
      </c>
      <c r="B269" s="4" t="s">
        <v>330</v>
      </c>
      <c r="C269" s="2" t="s">
        <v>101</v>
      </c>
      <c r="D269" s="2" t="s">
        <v>29</v>
      </c>
      <c r="E269" s="2" t="s">
        <v>102</v>
      </c>
      <c r="F269" s="2">
        <v>8029</v>
      </c>
      <c r="G269" s="2">
        <v>2</v>
      </c>
      <c r="H269" s="2">
        <v>2</v>
      </c>
      <c r="I269" s="2">
        <v>3</v>
      </c>
      <c r="J269" s="2" t="s">
        <v>169</v>
      </c>
      <c r="K269" s="2" t="s">
        <v>67</v>
      </c>
      <c r="L269">
        <f t="shared" si="12"/>
        <v>0</v>
      </c>
      <c r="M269" t="str">
        <f t="shared" si="13"/>
        <v>Mid</v>
      </c>
      <c r="N269" t="str">
        <f t="shared" si="14"/>
        <v>Low (&lt;5h)</v>
      </c>
      <c r="Q269" s="2"/>
    </row>
    <row r="270" spans="1:17">
      <c r="A270" s="2">
        <v>1269</v>
      </c>
      <c r="B270" s="4" t="s">
        <v>650</v>
      </c>
      <c r="C270" s="2" t="s">
        <v>12</v>
      </c>
      <c r="D270" s="2" t="s">
        <v>13</v>
      </c>
      <c r="E270" s="2" t="s">
        <v>155</v>
      </c>
      <c r="F270" s="2">
        <v>11618</v>
      </c>
      <c r="G270" s="2">
        <v>11</v>
      </c>
      <c r="H270" s="2">
        <v>3</v>
      </c>
      <c r="I270" s="2">
        <v>4</v>
      </c>
      <c r="J270" s="2" t="s">
        <v>169</v>
      </c>
      <c r="K270" s="2" t="s">
        <v>67</v>
      </c>
      <c r="L270">
        <f t="shared" si="12"/>
        <v>0</v>
      </c>
      <c r="M270" t="str">
        <f t="shared" si="13"/>
        <v>High</v>
      </c>
      <c r="N270" t="str">
        <f t="shared" si="14"/>
        <v>Medium (5-14h)</v>
      </c>
      <c r="Q270" s="2"/>
    </row>
    <row r="271" spans="1:17">
      <c r="A271" s="2">
        <v>1270</v>
      </c>
      <c r="B271" s="4" t="s">
        <v>220</v>
      </c>
      <c r="C271" s="2" t="s">
        <v>33</v>
      </c>
      <c r="D271" s="2" t="s">
        <v>19</v>
      </c>
      <c r="E271" s="2" t="s">
        <v>34</v>
      </c>
      <c r="F271" s="2">
        <v>12478</v>
      </c>
      <c r="G271" s="2">
        <v>10</v>
      </c>
      <c r="H271" s="2">
        <v>2</v>
      </c>
      <c r="I271" s="2">
        <v>4</v>
      </c>
      <c r="J271" s="2" t="s">
        <v>169</v>
      </c>
      <c r="K271" s="2" t="s">
        <v>169</v>
      </c>
      <c r="L271">
        <f t="shared" si="12"/>
        <v>1</v>
      </c>
      <c r="M271" t="str">
        <f t="shared" si="13"/>
        <v>High</v>
      </c>
      <c r="N271" t="str">
        <f t="shared" si="14"/>
        <v>Medium (5-14h)</v>
      </c>
      <c r="Q271" s="2"/>
    </row>
    <row r="272" spans="1:17">
      <c r="A272" s="2">
        <v>1271</v>
      </c>
      <c r="B272" s="4" t="s">
        <v>651</v>
      </c>
      <c r="C272" s="2" t="s">
        <v>24</v>
      </c>
      <c r="D272" s="2" t="s">
        <v>25</v>
      </c>
      <c r="E272" s="2" t="s">
        <v>38</v>
      </c>
      <c r="F272" s="2">
        <v>6681</v>
      </c>
      <c r="G272" s="2">
        <v>8</v>
      </c>
      <c r="H272" s="2">
        <v>3</v>
      </c>
      <c r="I272" s="2">
        <v>2</v>
      </c>
      <c r="J272" s="2" t="s">
        <v>67</v>
      </c>
      <c r="K272" s="2" t="s">
        <v>67</v>
      </c>
      <c r="L272">
        <f t="shared" si="12"/>
        <v>0</v>
      </c>
      <c r="M272" t="str">
        <f t="shared" si="13"/>
        <v>Mid</v>
      </c>
      <c r="N272" t="str">
        <f t="shared" si="14"/>
        <v>Medium (5-14h)</v>
      </c>
      <c r="Q272" s="2"/>
    </row>
    <row r="273" spans="1:17">
      <c r="A273" s="2">
        <v>1272</v>
      </c>
      <c r="B273" s="4" t="s">
        <v>337</v>
      </c>
      <c r="C273" s="2" t="s">
        <v>33</v>
      </c>
      <c r="D273" s="2" t="s">
        <v>19</v>
      </c>
      <c r="E273" s="2" t="s">
        <v>20</v>
      </c>
      <c r="F273" s="2">
        <v>13467</v>
      </c>
      <c r="G273" s="2">
        <v>0</v>
      </c>
      <c r="H273" s="2">
        <v>1</v>
      </c>
      <c r="I273" s="2">
        <v>3</v>
      </c>
      <c r="J273" s="2" t="s">
        <v>67</v>
      </c>
      <c r="K273" s="2" t="s">
        <v>67</v>
      </c>
      <c r="L273">
        <f t="shared" si="12"/>
        <v>0</v>
      </c>
      <c r="M273" t="str">
        <f t="shared" si="13"/>
        <v>High</v>
      </c>
      <c r="N273" t="str">
        <f t="shared" si="14"/>
        <v>Low (&lt;5h)</v>
      </c>
      <c r="Q273" s="2"/>
    </row>
    <row r="274" spans="1:17">
      <c r="A274" s="2">
        <v>1273</v>
      </c>
      <c r="B274" s="4" t="s">
        <v>652</v>
      </c>
      <c r="C274" s="2" t="s">
        <v>12</v>
      </c>
      <c r="D274" s="2" t="s">
        <v>13</v>
      </c>
      <c r="E274" s="2" t="s">
        <v>14</v>
      </c>
      <c r="F274" s="2">
        <v>4080</v>
      </c>
      <c r="G274" s="2">
        <v>0</v>
      </c>
      <c r="H274" s="2">
        <v>4</v>
      </c>
      <c r="I274" s="2">
        <v>3</v>
      </c>
      <c r="J274" s="2" t="s">
        <v>67</v>
      </c>
      <c r="K274" s="2" t="s">
        <v>67</v>
      </c>
      <c r="L274">
        <f t="shared" si="12"/>
        <v>0</v>
      </c>
      <c r="M274" t="str">
        <f t="shared" si="13"/>
        <v>Low</v>
      </c>
      <c r="N274" t="str">
        <f t="shared" si="14"/>
        <v>Low (&lt;5h)</v>
      </c>
      <c r="Q274" s="2"/>
    </row>
    <row r="275" spans="1:17">
      <c r="A275" s="2">
        <v>1274</v>
      </c>
      <c r="B275" s="4" t="s">
        <v>653</v>
      </c>
      <c r="C275" s="2" t="s">
        <v>83</v>
      </c>
      <c r="D275" s="2" t="s">
        <v>56</v>
      </c>
      <c r="E275" s="2" t="s">
        <v>59</v>
      </c>
      <c r="F275" s="2">
        <v>9657</v>
      </c>
      <c r="G275" s="2">
        <v>10</v>
      </c>
      <c r="H275" s="2">
        <v>1</v>
      </c>
      <c r="I275" s="2">
        <v>3</v>
      </c>
      <c r="J275" s="2" t="s">
        <v>67</v>
      </c>
      <c r="K275" s="2" t="s">
        <v>67</v>
      </c>
      <c r="L275">
        <f t="shared" si="12"/>
        <v>0</v>
      </c>
      <c r="M275" t="str">
        <f t="shared" si="13"/>
        <v>High</v>
      </c>
      <c r="N275" t="str">
        <f t="shared" si="14"/>
        <v>Medium (5-14h)</v>
      </c>
      <c r="Q275" s="2"/>
    </row>
    <row r="276" spans="1:17">
      <c r="A276" s="2">
        <v>1275</v>
      </c>
      <c r="B276" s="4" t="s">
        <v>654</v>
      </c>
      <c r="C276" s="2" t="s">
        <v>233</v>
      </c>
      <c r="D276" s="2" t="s">
        <v>49</v>
      </c>
      <c r="E276" s="2" t="s">
        <v>78</v>
      </c>
      <c r="F276" s="2">
        <v>12335</v>
      </c>
      <c r="G276" s="2">
        <v>4</v>
      </c>
      <c r="H276" s="2">
        <v>3</v>
      </c>
      <c r="I276" s="2">
        <v>4</v>
      </c>
      <c r="J276" s="2" t="s">
        <v>169</v>
      </c>
      <c r="K276" s="2" t="s">
        <v>67</v>
      </c>
      <c r="L276">
        <f t="shared" si="12"/>
        <v>0</v>
      </c>
      <c r="M276" t="str">
        <f t="shared" si="13"/>
        <v>High</v>
      </c>
      <c r="N276" t="str">
        <f t="shared" si="14"/>
        <v>Low (&lt;5h)</v>
      </c>
      <c r="Q276" s="2"/>
    </row>
    <row r="277" spans="1:17">
      <c r="A277" s="2">
        <v>1276</v>
      </c>
      <c r="B277" s="4" t="s">
        <v>655</v>
      </c>
      <c r="C277" s="2" t="s">
        <v>33</v>
      </c>
      <c r="D277" s="2" t="s">
        <v>19</v>
      </c>
      <c r="E277" s="2" t="s">
        <v>20</v>
      </c>
      <c r="F277" s="2">
        <v>14206</v>
      </c>
      <c r="G277" s="2">
        <v>12</v>
      </c>
      <c r="H277" s="2">
        <v>2</v>
      </c>
      <c r="I277" s="2">
        <v>4</v>
      </c>
      <c r="J277" s="2" t="s">
        <v>169</v>
      </c>
      <c r="K277" s="2" t="s">
        <v>169</v>
      </c>
      <c r="L277">
        <f t="shared" si="12"/>
        <v>1</v>
      </c>
      <c r="M277" t="str">
        <f t="shared" si="13"/>
        <v>High</v>
      </c>
      <c r="N277" t="str">
        <f t="shared" si="14"/>
        <v>Medium (5-14h)</v>
      </c>
      <c r="Q277" s="2"/>
    </row>
    <row r="278" spans="1:17">
      <c r="A278" s="2">
        <v>1277</v>
      </c>
      <c r="B278" s="4" t="s">
        <v>656</v>
      </c>
      <c r="C278" s="2" t="s">
        <v>101</v>
      </c>
      <c r="D278" s="2" t="s">
        <v>29</v>
      </c>
      <c r="E278" s="2" t="s">
        <v>102</v>
      </c>
      <c r="F278" s="2">
        <v>10162</v>
      </c>
      <c r="G278" s="2">
        <v>12</v>
      </c>
      <c r="H278" s="2">
        <v>3</v>
      </c>
      <c r="I278" s="2">
        <v>3</v>
      </c>
      <c r="J278" s="2" t="s">
        <v>169</v>
      </c>
      <c r="K278" s="2" t="s">
        <v>67</v>
      </c>
      <c r="L278">
        <f t="shared" si="12"/>
        <v>0</v>
      </c>
      <c r="M278" t="str">
        <f t="shared" si="13"/>
        <v>High</v>
      </c>
      <c r="N278" t="str">
        <f t="shared" si="14"/>
        <v>Medium (5-14h)</v>
      </c>
      <c r="Q278" s="2"/>
    </row>
    <row r="279" spans="1:17">
      <c r="A279" s="2">
        <v>1278</v>
      </c>
      <c r="B279" s="4" t="s">
        <v>657</v>
      </c>
      <c r="C279" s="2" t="s">
        <v>83</v>
      </c>
      <c r="D279" s="2" t="s">
        <v>56</v>
      </c>
      <c r="E279" s="2" t="s">
        <v>59</v>
      </c>
      <c r="F279" s="2">
        <v>4313</v>
      </c>
      <c r="G279" s="2">
        <v>0</v>
      </c>
      <c r="H279" s="2">
        <v>4</v>
      </c>
      <c r="I279" s="2">
        <v>3</v>
      </c>
      <c r="J279" s="2" t="s">
        <v>169</v>
      </c>
      <c r="K279" s="2" t="s">
        <v>169</v>
      </c>
      <c r="L279">
        <f t="shared" si="12"/>
        <v>1</v>
      </c>
      <c r="M279" t="str">
        <f t="shared" si="13"/>
        <v>Low</v>
      </c>
      <c r="N279" t="str">
        <f t="shared" si="14"/>
        <v>Low (&lt;5h)</v>
      </c>
      <c r="Q279" s="2"/>
    </row>
    <row r="280" spans="1:17">
      <c r="A280" s="2">
        <v>1279</v>
      </c>
      <c r="B280" s="4" t="s">
        <v>658</v>
      </c>
      <c r="C280" s="2" t="s">
        <v>83</v>
      </c>
      <c r="D280" s="2" t="s">
        <v>56</v>
      </c>
      <c r="E280" s="2" t="s">
        <v>57</v>
      </c>
      <c r="F280" s="2">
        <v>9924</v>
      </c>
      <c r="G280" s="2">
        <v>5</v>
      </c>
      <c r="H280" s="2">
        <v>2</v>
      </c>
      <c r="I280" s="2">
        <v>4</v>
      </c>
      <c r="J280" s="2" t="s">
        <v>169</v>
      </c>
      <c r="K280" s="2" t="s">
        <v>169</v>
      </c>
      <c r="L280">
        <f t="shared" si="12"/>
        <v>1</v>
      </c>
      <c r="M280" t="str">
        <f t="shared" si="13"/>
        <v>High</v>
      </c>
      <c r="N280" t="str">
        <f t="shared" si="14"/>
        <v>Medium (5-14h)</v>
      </c>
      <c r="Q280" s="2"/>
    </row>
    <row r="281" spans="1:17">
      <c r="A281" s="2">
        <v>1280</v>
      </c>
      <c r="B281" s="4" t="s">
        <v>354</v>
      </c>
      <c r="C281" s="2" t="s">
        <v>12</v>
      </c>
      <c r="D281" s="2" t="s">
        <v>13</v>
      </c>
      <c r="E281" s="2" t="s">
        <v>44</v>
      </c>
      <c r="F281" s="2">
        <v>11808</v>
      </c>
      <c r="G281" s="2">
        <v>14</v>
      </c>
      <c r="H281" s="2">
        <v>1</v>
      </c>
      <c r="I281" s="2">
        <v>4</v>
      </c>
      <c r="J281" s="2" t="s">
        <v>67</v>
      </c>
      <c r="K281" s="2" t="s">
        <v>169</v>
      </c>
      <c r="L281">
        <f t="shared" si="12"/>
        <v>1</v>
      </c>
      <c r="M281" t="str">
        <f t="shared" si="13"/>
        <v>High</v>
      </c>
      <c r="N281" t="str">
        <f t="shared" si="14"/>
        <v>Medium (5-14h)</v>
      </c>
      <c r="Q281" s="2"/>
    </row>
    <row r="282" spans="1:17">
      <c r="A282" s="2">
        <v>1281</v>
      </c>
      <c r="B282" s="4" t="s">
        <v>659</v>
      </c>
      <c r="C282" s="2" t="s">
        <v>101</v>
      </c>
      <c r="D282" s="2" t="s">
        <v>29</v>
      </c>
      <c r="E282" s="2" t="s">
        <v>102</v>
      </c>
      <c r="F282" s="2">
        <v>2824</v>
      </c>
      <c r="G282" s="2">
        <v>1</v>
      </c>
      <c r="H282" s="2">
        <v>3</v>
      </c>
      <c r="I282" s="2">
        <v>4</v>
      </c>
      <c r="J282" s="2" t="s">
        <v>169</v>
      </c>
      <c r="K282" s="2" t="s">
        <v>67</v>
      </c>
      <c r="L282">
        <f t="shared" si="12"/>
        <v>0</v>
      </c>
      <c r="M282" t="str">
        <f t="shared" si="13"/>
        <v>Low</v>
      </c>
      <c r="N282" t="str">
        <f t="shared" si="14"/>
        <v>Low (&lt;5h)</v>
      </c>
      <c r="Q282" s="2"/>
    </row>
    <row r="283" spans="1:17">
      <c r="A283" s="2">
        <v>1282</v>
      </c>
      <c r="B283" s="4" t="s">
        <v>660</v>
      </c>
      <c r="C283" s="2" t="s">
        <v>83</v>
      </c>
      <c r="D283" s="2" t="s">
        <v>56</v>
      </c>
      <c r="E283" s="2" t="s">
        <v>57</v>
      </c>
      <c r="F283" s="2">
        <v>11387</v>
      </c>
      <c r="G283" s="2">
        <v>12</v>
      </c>
      <c r="H283" s="2">
        <v>3</v>
      </c>
      <c r="I283" s="2">
        <v>2</v>
      </c>
      <c r="J283" s="2" t="s">
        <v>67</v>
      </c>
      <c r="K283" s="2" t="s">
        <v>67</v>
      </c>
      <c r="L283">
        <f t="shared" si="12"/>
        <v>0</v>
      </c>
      <c r="M283" t="str">
        <f t="shared" si="13"/>
        <v>High</v>
      </c>
      <c r="N283" t="str">
        <f t="shared" si="14"/>
        <v>Medium (5-14h)</v>
      </c>
      <c r="Q283" s="2"/>
    </row>
    <row r="284" spans="1:17">
      <c r="A284" s="2">
        <v>1283</v>
      </c>
      <c r="B284" s="4" t="s">
        <v>661</v>
      </c>
      <c r="C284" s="2" t="s">
        <v>12</v>
      </c>
      <c r="D284" s="2" t="s">
        <v>13</v>
      </c>
      <c r="E284" s="2" t="s">
        <v>155</v>
      </c>
      <c r="F284" s="2">
        <v>11389</v>
      </c>
      <c r="G284" s="2">
        <v>5</v>
      </c>
      <c r="H284" s="2">
        <v>4</v>
      </c>
      <c r="I284" s="2">
        <v>4</v>
      </c>
      <c r="J284" s="2" t="s">
        <v>67</v>
      </c>
      <c r="K284" s="2" t="s">
        <v>67</v>
      </c>
      <c r="L284">
        <f t="shared" si="12"/>
        <v>0</v>
      </c>
      <c r="M284" t="str">
        <f t="shared" si="13"/>
        <v>High</v>
      </c>
      <c r="N284" t="str">
        <f t="shared" si="14"/>
        <v>Medium (5-14h)</v>
      </c>
      <c r="Q284" s="2"/>
    </row>
    <row r="285" spans="1:17">
      <c r="A285" s="2">
        <v>1284</v>
      </c>
      <c r="B285" s="4" t="s">
        <v>662</v>
      </c>
      <c r="C285" s="2" t="s">
        <v>83</v>
      </c>
      <c r="D285" s="2" t="s">
        <v>56</v>
      </c>
      <c r="E285" s="2" t="s">
        <v>85</v>
      </c>
      <c r="F285" s="2">
        <v>5686</v>
      </c>
      <c r="G285" s="2">
        <v>9</v>
      </c>
      <c r="H285" s="2">
        <v>4</v>
      </c>
      <c r="I285" s="2">
        <v>3</v>
      </c>
      <c r="J285" s="2" t="s">
        <v>169</v>
      </c>
      <c r="K285" s="2" t="s">
        <v>67</v>
      </c>
      <c r="L285">
        <f t="shared" si="12"/>
        <v>0</v>
      </c>
      <c r="M285" t="str">
        <f t="shared" si="13"/>
        <v>Mid</v>
      </c>
      <c r="N285" t="str">
        <f t="shared" si="14"/>
        <v>Medium (5-14h)</v>
      </c>
      <c r="Q285" s="2"/>
    </row>
    <row r="286" spans="1:17">
      <c r="A286" s="2">
        <v>1285</v>
      </c>
      <c r="B286" s="4" t="s">
        <v>663</v>
      </c>
      <c r="C286" s="2" t="s">
        <v>33</v>
      </c>
      <c r="D286" s="2" t="s">
        <v>19</v>
      </c>
      <c r="E286" s="2" t="s">
        <v>20</v>
      </c>
      <c r="F286" s="2">
        <v>4058</v>
      </c>
      <c r="G286" s="2">
        <v>10</v>
      </c>
      <c r="H286" s="2">
        <v>2</v>
      </c>
      <c r="I286" s="2">
        <v>4</v>
      </c>
      <c r="J286" s="2" t="s">
        <v>169</v>
      </c>
      <c r="K286" s="2" t="s">
        <v>67</v>
      </c>
      <c r="L286">
        <f t="shared" si="12"/>
        <v>0</v>
      </c>
      <c r="M286" t="str">
        <f t="shared" si="13"/>
        <v>Low</v>
      </c>
      <c r="N286" t="str">
        <f t="shared" si="14"/>
        <v>Medium (5-14h)</v>
      </c>
      <c r="Q286" s="2"/>
    </row>
    <row r="287" spans="1:17">
      <c r="A287" s="2">
        <v>1286</v>
      </c>
      <c r="B287" s="4" t="s">
        <v>664</v>
      </c>
      <c r="C287" s="2" t="s">
        <v>33</v>
      </c>
      <c r="D287" s="2" t="s">
        <v>19</v>
      </c>
      <c r="E287" s="2" t="s">
        <v>112</v>
      </c>
      <c r="F287" s="2">
        <v>10693</v>
      </c>
      <c r="G287" s="2">
        <v>9</v>
      </c>
      <c r="H287" s="2">
        <v>2</v>
      </c>
      <c r="I287" s="2">
        <v>3</v>
      </c>
      <c r="J287" s="2" t="s">
        <v>67</v>
      </c>
      <c r="K287" s="2" t="s">
        <v>67</v>
      </c>
      <c r="L287">
        <f t="shared" si="12"/>
        <v>0</v>
      </c>
      <c r="M287" t="str">
        <f t="shared" si="13"/>
        <v>High</v>
      </c>
      <c r="N287" t="str">
        <f t="shared" si="14"/>
        <v>Medium (5-14h)</v>
      </c>
      <c r="Q287" s="2"/>
    </row>
    <row r="288" spans="1:17">
      <c r="A288" s="2">
        <v>1287</v>
      </c>
      <c r="B288" s="4" t="s">
        <v>371</v>
      </c>
      <c r="C288" s="2" t="s">
        <v>101</v>
      </c>
      <c r="D288" s="2" t="s">
        <v>29</v>
      </c>
      <c r="E288" s="2" t="s">
        <v>30</v>
      </c>
      <c r="F288" s="2">
        <v>8112</v>
      </c>
      <c r="G288" s="2">
        <v>11</v>
      </c>
      <c r="H288" s="2">
        <v>1</v>
      </c>
      <c r="I288" s="2">
        <v>4</v>
      </c>
      <c r="J288" s="2" t="s">
        <v>169</v>
      </c>
      <c r="K288" s="2" t="s">
        <v>67</v>
      </c>
      <c r="L288">
        <f t="shared" si="12"/>
        <v>0</v>
      </c>
      <c r="M288" t="str">
        <f t="shared" si="13"/>
        <v>Mid</v>
      </c>
      <c r="N288" t="str">
        <f t="shared" si="14"/>
        <v>Medium (5-14h)</v>
      </c>
      <c r="Q288" s="2"/>
    </row>
    <row r="289" spans="1:17">
      <c r="A289" s="2">
        <v>1288</v>
      </c>
      <c r="B289" s="4" t="s">
        <v>322</v>
      </c>
      <c r="C289" s="2" t="s">
        <v>83</v>
      </c>
      <c r="D289" s="2" t="s">
        <v>56</v>
      </c>
      <c r="E289" s="2" t="s">
        <v>59</v>
      </c>
      <c r="F289" s="2">
        <v>3064</v>
      </c>
      <c r="G289" s="2">
        <v>11</v>
      </c>
      <c r="H289" s="2">
        <v>1</v>
      </c>
      <c r="I289" s="2">
        <v>4</v>
      </c>
      <c r="J289" s="2" t="s">
        <v>67</v>
      </c>
      <c r="K289" s="2" t="s">
        <v>169</v>
      </c>
      <c r="L289">
        <f t="shared" si="12"/>
        <v>1</v>
      </c>
      <c r="M289" t="str">
        <f t="shared" si="13"/>
        <v>Low</v>
      </c>
      <c r="N289" t="str">
        <f t="shared" si="14"/>
        <v>Medium (5-14h)</v>
      </c>
      <c r="Q289" s="2"/>
    </row>
    <row r="290" spans="1:17">
      <c r="A290" s="2">
        <v>1289</v>
      </c>
      <c r="B290" s="4" t="s">
        <v>134</v>
      </c>
      <c r="C290" s="2" t="s">
        <v>233</v>
      </c>
      <c r="D290" s="2" t="s">
        <v>49</v>
      </c>
      <c r="E290" s="2" t="s">
        <v>78</v>
      </c>
      <c r="F290" s="2">
        <v>13289</v>
      </c>
      <c r="G290" s="2">
        <v>6</v>
      </c>
      <c r="H290" s="2">
        <v>4</v>
      </c>
      <c r="I290" s="2">
        <v>4</v>
      </c>
      <c r="J290" s="2" t="s">
        <v>67</v>
      </c>
      <c r="K290" s="2" t="s">
        <v>67</v>
      </c>
      <c r="L290">
        <f t="shared" si="12"/>
        <v>0</v>
      </c>
      <c r="M290" t="str">
        <f t="shared" si="13"/>
        <v>High</v>
      </c>
      <c r="N290" t="str">
        <f t="shared" si="14"/>
        <v>Medium (5-14h)</v>
      </c>
      <c r="Q290" s="2"/>
    </row>
    <row r="291" spans="1:17">
      <c r="A291" s="2">
        <v>1290</v>
      </c>
      <c r="B291" s="4" t="s">
        <v>665</v>
      </c>
      <c r="C291" s="2" t="s">
        <v>33</v>
      </c>
      <c r="D291" s="2" t="s">
        <v>19</v>
      </c>
      <c r="E291" s="2" t="s">
        <v>20</v>
      </c>
      <c r="F291" s="2">
        <v>11477</v>
      </c>
      <c r="G291" s="2">
        <v>5</v>
      </c>
      <c r="H291" s="2">
        <v>4</v>
      </c>
      <c r="I291" s="2">
        <v>4</v>
      </c>
      <c r="J291" s="2" t="s">
        <v>169</v>
      </c>
      <c r="K291" s="2" t="s">
        <v>67</v>
      </c>
      <c r="L291">
        <f t="shared" si="12"/>
        <v>0</v>
      </c>
      <c r="M291" t="str">
        <f t="shared" si="13"/>
        <v>High</v>
      </c>
      <c r="N291" t="str">
        <f t="shared" si="14"/>
        <v>Medium (5-14h)</v>
      </c>
      <c r="Q291" s="2"/>
    </row>
    <row r="292" spans="1:17">
      <c r="A292" s="2">
        <v>1291</v>
      </c>
      <c r="B292" s="4" t="s">
        <v>666</v>
      </c>
      <c r="C292" s="2" t="s">
        <v>33</v>
      </c>
      <c r="D292" s="2" t="s">
        <v>13</v>
      </c>
      <c r="E292" s="2" t="s">
        <v>44</v>
      </c>
      <c r="F292" s="2">
        <v>14378</v>
      </c>
      <c r="G292" s="2">
        <v>7</v>
      </c>
      <c r="H292" s="2">
        <v>4</v>
      </c>
      <c r="I292" s="2">
        <v>4</v>
      </c>
      <c r="J292" s="2" t="s">
        <v>169</v>
      </c>
      <c r="K292" s="2" t="s">
        <v>67</v>
      </c>
      <c r="L292">
        <f t="shared" si="12"/>
        <v>0</v>
      </c>
      <c r="M292" t="str">
        <f t="shared" si="13"/>
        <v>High</v>
      </c>
      <c r="N292" t="str">
        <f t="shared" si="14"/>
        <v>Medium (5-14h)</v>
      </c>
      <c r="Q292" s="2"/>
    </row>
    <row r="293" spans="1:17">
      <c r="A293" s="2">
        <v>1292</v>
      </c>
      <c r="B293" s="4" t="s">
        <v>667</v>
      </c>
      <c r="C293" s="2" t="s">
        <v>33</v>
      </c>
      <c r="D293" s="2" t="s">
        <v>19</v>
      </c>
      <c r="E293" s="2" t="s">
        <v>20</v>
      </c>
      <c r="F293" s="2">
        <v>11485</v>
      </c>
      <c r="G293" s="2">
        <v>13</v>
      </c>
      <c r="H293" s="2">
        <v>2</v>
      </c>
      <c r="I293" s="2">
        <v>3</v>
      </c>
      <c r="J293" s="2" t="s">
        <v>67</v>
      </c>
      <c r="K293" s="2" t="s">
        <v>67</v>
      </c>
      <c r="L293">
        <f t="shared" si="12"/>
        <v>0</v>
      </c>
      <c r="M293" t="str">
        <f t="shared" si="13"/>
        <v>High</v>
      </c>
      <c r="N293" t="str">
        <f t="shared" si="14"/>
        <v>Medium (5-14h)</v>
      </c>
      <c r="Q293" s="2"/>
    </row>
    <row r="294" spans="1:17">
      <c r="A294" s="2">
        <v>1293</v>
      </c>
      <c r="B294" s="4" t="s">
        <v>283</v>
      </c>
      <c r="C294" s="2" t="s">
        <v>33</v>
      </c>
      <c r="D294" s="2" t="s">
        <v>19</v>
      </c>
      <c r="E294" s="2" t="s">
        <v>112</v>
      </c>
      <c r="F294" s="2">
        <v>8278</v>
      </c>
      <c r="G294" s="2">
        <v>4</v>
      </c>
      <c r="H294" s="2">
        <v>2</v>
      </c>
      <c r="I294" s="2">
        <v>3</v>
      </c>
      <c r="J294" s="2" t="s">
        <v>67</v>
      </c>
      <c r="K294" s="2" t="s">
        <v>67</v>
      </c>
      <c r="L294">
        <f t="shared" si="12"/>
        <v>0</v>
      </c>
      <c r="M294" t="str">
        <f t="shared" si="13"/>
        <v>Mid</v>
      </c>
      <c r="N294" t="str">
        <f t="shared" si="14"/>
        <v>Low (&lt;5h)</v>
      </c>
      <c r="Q294" s="2"/>
    </row>
    <row r="295" spans="1:17">
      <c r="A295" s="2">
        <v>1294</v>
      </c>
      <c r="B295" s="4" t="s">
        <v>439</v>
      </c>
      <c r="C295" s="2" t="s">
        <v>83</v>
      </c>
      <c r="D295" s="2" t="s">
        <v>56</v>
      </c>
      <c r="E295" s="2" t="s">
        <v>85</v>
      </c>
      <c r="F295" s="2">
        <v>4446</v>
      </c>
      <c r="G295" s="2">
        <v>0</v>
      </c>
      <c r="H295" s="2">
        <v>3</v>
      </c>
      <c r="I295" s="2">
        <v>3</v>
      </c>
      <c r="J295" s="2" t="s">
        <v>67</v>
      </c>
      <c r="K295" s="2" t="s">
        <v>67</v>
      </c>
      <c r="L295">
        <f t="shared" si="12"/>
        <v>0</v>
      </c>
      <c r="M295" t="str">
        <f t="shared" si="13"/>
        <v>Low</v>
      </c>
      <c r="N295" t="str">
        <f t="shared" si="14"/>
        <v>Low (&lt;5h)</v>
      </c>
      <c r="Q295" s="2"/>
    </row>
    <row r="296" spans="1:17">
      <c r="A296" s="2">
        <v>1295</v>
      </c>
      <c r="B296" s="4" t="s">
        <v>98</v>
      </c>
      <c r="C296" s="2" t="s">
        <v>83</v>
      </c>
      <c r="D296" s="2" t="s">
        <v>56</v>
      </c>
      <c r="E296" s="2" t="s">
        <v>57</v>
      </c>
      <c r="F296" s="2">
        <v>12542</v>
      </c>
      <c r="G296" s="2">
        <v>10</v>
      </c>
      <c r="H296" s="2">
        <v>2</v>
      </c>
      <c r="I296" s="2">
        <v>3</v>
      </c>
      <c r="J296" s="2" t="s">
        <v>67</v>
      </c>
      <c r="K296" s="2" t="s">
        <v>169</v>
      </c>
      <c r="L296">
        <f t="shared" si="12"/>
        <v>1</v>
      </c>
      <c r="M296" t="str">
        <f t="shared" si="13"/>
        <v>High</v>
      </c>
      <c r="N296" t="str">
        <f t="shared" si="14"/>
        <v>Medium (5-14h)</v>
      </c>
      <c r="Q296" s="2"/>
    </row>
    <row r="297" spans="1:17">
      <c r="A297" s="2">
        <v>1296</v>
      </c>
      <c r="B297" s="4" t="s">
        <v>668</v>
      </c>
      <c r="C297" s="2" t="s">
        <v>33</v>
      </c>
      <c r="D297" s="2" t="s">
        <v>25</v>
      </c>
      <c r="E297" s="2" t="s">
        <v>148</v>
      </c>
      <c r="F297" s="2">
        <v>6348</v>
      </c>
      <c r="G297" s="2">
        <v>4</v>
      </c>
      <c r="H297" s="2">
        <v>4</v>
      </c>
      <c r="I297" s="2">
        <v>2</v>
      </c>
      <c r="J297" s="2" t="s">
        <v>169</v>
      </c>
      <c r="K297" s="2" t="s">
        <v>67</v>
      </c>
      <c r="L297">
        <f t="shared" si="12"/>
        <v>0</v>
      </c>
      <c r="M297" t="str">
        <f t="shared" si="13"/>
        <v>Mid</v>
      </c>
      <c r="N297" t="str">
        <f t="shared" si="14"/>
        <v>Low (&lt;5h)</v>
      </c>
      <c r="Q297" s="2"/>
    </row>
    <row r="298" spans="1:17">
      <c r="A298" s="2">
        <v>1297</v>
      </c>
      <c r="B298" s="4" t="s">
        <v>669</v>
      </c>
      <c r="C298" s="2" t="s">
        <v>101</v>
      </c>
      <c r="D298" s="2" t="s">
        <v>29</v>
      </c>
      <c r="E298" s="2" t="s">
        <v>30</v>
      </c>
      <c r="F298" s="2">
        <v>9167</v>
      </c>
      <c r="G298" s="2">
        <v>15</v>
      </c>
      <c r="H298" s="2">
        <v>1</v>
      </c>
      <c r="I298" s="2">
        <v>4</v>
      </c>
      <c r="J298" s="2" t="s">
        <v>67</v>
      </c>
      <c r="K298" s="2" t="s">
        <v>67</v>
      </c>
      <c r="L298">
        <f t="shared" si="12"/>
        <v>0</v>
      </c>
      <c r="M298" t="str">
        <f t="shared" si="13"/>
        <v>High</v>
      </c>
      <c r="N298" t="str">
        <f t="shared" si="14"/>
        <v>High (15h+)</v>
      </c>
      <c r="Q298" s="2"/>
    </row>
    <row r="299" spans="1:17">
      <c r="A299" s="2">
        <v>1298</v>
      </c>
      <c r="B299" s="4" t="s">
        <v>670</v>
      </c>
      <c r="C299" s="2" t="s">
        <v>33</v>
      </c>
      <c r="D299" s="2" t="s">
        <v>25</v>
      </c>
      <c r="E299" s="2" t="s">
        <v>148</v>
      </c>
      <c r="F299" s="2">
        <v>10811</v>
      </c>
      <c r="G299" s="2">
        <v>6</v>
      </c>
      <c r="H299" s="2">
        <v>2</v>
      </c>
      <c r="I299" s="2">
        <v>3</v>
      </c>
      <c r="J299" s="2" t="s">
        <v>169</v>
      </c>
      <c r="K299" s="2" t="s">
        <v>67</v>
      </c>
      <c r="L299">
        <f t="shared" si="12"/>
        <v>0</v>
      </c>
      <c r="M299" t="str">
        <f t="shared" si="13"/>
        <v>High</v>
      </c>
      <c r="N299" t="str">
        <f t="shared" si="14"/>
        <v>Medium (5-14h)</v>
      </c>
      <c r="Q299" s="2"/>
    </row>
    <row r="300" spans="1:17">
      <c r="A300" s="2">
        <v>1299</v>
      </c>
      <c r="B300" s="4" t="s">
        <v>671</v>
      </c>
      <c r="C300" s="2" t="s">
        <v>33</v>
      </c>
      <c r="D300" s="2" t="s">
        <v>19</v>
      </c>
      <c r="E300" s="2" t="s">
        <v>20</v>
      </c>
      <c r="F300" s="2">
        <v>11107</v>
      </c>
      <c r="G300" s="2">
        <v>5</v>
      </c>
      <c r="H300" s="2">
        <v>2</v>
      </c>
      <c r="I300" s="2">
        <v>1</v>
      </c>
      <c r="J300" s="2" t="s">
        <v>67</v>
      </c>
      <c r="K300" s="2" t="s">
        <v>67</v>
      </c>
      <c r="L300">
        <f t="shared" si="12"/>
        <v>0</v>
      </c>
      <c r="M300" t="str">
        <f t="shared" si="13"/>
        <v>High</v>
      </c>
      <c r="N300" t="str">
        <f t="shared" si="14"/>
        <v>Medium (5-14h)</v>
      </c>
      <c r="Q300" s="2"/>
    </row>
    <row r="301" spans="1:17">
      <c r="A301" s="2">
        <v>1300</v>
      </c>
      <c r="B301" s="4" t="s">
        <v>672</v>
      </c>
      <c r="C301" s="2" t="s">
        <v>24</v>
      </c>
      <c r="D301" s="2" t="s">
        <v>25</v>
      </c>
      <c r="E301" s="2" t="s">
        <v>38</v>
      </c>
      <c r="F301" s="2">
        <v>11116</v>
      </c>
      <c r="G301" s="2">
        <v>7</v>
      </c>
      <c r="H301" s="2">
        <v>2</v>
      </c>
      <c r="I301" s="2">
        <v>4</v>
      </c>
      <c r="J301" s="2" t="s">
        <v>169</v>
      </c>
      <c r="K301" s="2" t="s">
        <v>169</v>
      </c>
      <c r="L301">
        <f t="shared" si="12"/>
        <v>1</v>
      </c>
      <c r="M301" t="str">
        <f t="shared" si="13"/>
        <v>High</v>
      </c>
      <c r="N301" t="str">
        <f t="shared" si="14"/>
        <v>Medium (5-14h)</v>
      </c>
      <c r="Q301" s="2"/>
    </row>
  </sheetData>
  <sortState xmlns:xlrd2="http://schemas.microsoft.com/office/spreadsheetml/2017/richdata2" ref="A2:K317">
    <sortCondition ref="A2:A31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D16" sqref="D16"/>
    </sheetView>
  </sheetViews>
  <sheetFormatPr defaultRowHeight="14.4"/>
  <cols>
    <col min="1" max="1" width="12.5546875" customWidth="1"/>
    <col min="2" max="2" width="24" customWidth="1"/>
  </cols>
  <sheetData>
    <row r="1" spans="1:2">
      <c r="A1" s="1" t="s">
        <v>3</v>
      </c>
      <c r="B1" s="1" t="s">
        <v>457</v>
      </c>
    </row>
    <row r="2" spans="1:2">
      <c r="A2" s="2" t="s">
        <v>56</v>
      </c>
      <c r="B2" s="2" t="s">
        <v>83</v>
      </c>
    </row>
    <row r="3" spans="1:2">
      <c r="A3" s="2" t="s">
        <v>25</v>
      </c>
      <c r="B3" s="2" t="s">
        <v>24</v>
      </c>
    </row>
    <row r="4" spans="1:2">
      <c r="A4" s="2" t="s">
        <v>49</v>
      </c>
      <c r="B4" s="2" t="s">
        <v>233</v>
      </c>
    </row>
    <row r="5" spans="1:2">
      <c r="A5" s="2" t="s">
        <v>13</v>
      </c>
      <c r="B5" s="2" t="s">
        <v>12</v>
      </c>
    </row>
    <row r="6" spans="1:2">
      <c r="A6" s="2" t="s">
        <v>19</v>
      </c>
      <c r="B6" s="2" t="s">
        <v>33</v>
      </c>
    </row>
    <row r="7" spans="1:2">
      <c r="A7" s="2" t="s">
        <v>29</v>
      </c>
      <c r="B7" s="2" t="s">
        <v>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361C-BCBA-4706-9BD5-DDA509FF8B54}">
  <dimension ref="A1:N68"/>
  <sheetViews>
    <sheetView tabSelected="1" zoomScaleNormal="100" workbookViewId="0">
      <selection activeCell="I22" sqref="I22"/>
    </sheetView>
  </sheetViews>
  <sheetFormatPr defaultRowHeight="14.4"/>
  <cols>
    <col min="1" max="1" width="15.77734375" bestFit="1" customWidth="1"/>
    <col min="2" max="2" width="26.21875" bestFit="1" customWidth="1"/>
    <col min="3" max="3" width="21.109375" bestFit="1" customWidth="1"/>
    <col min="4" max="4" width="12.5546875" bestFit="1" customWidth="1"/>
    <col min="5" max="5" width="25.44140625" bestFit="1" customWidth="1"/>
    <col min="6" max="6" width="12" bestFit="1" customWidth="1"/>
    <col min="7" max="7" width="14.77734375" bestFit="1" customWidth="1"/>
    <col min="8" max="8" width="18" bestFit="1" customWidth="1"/>
    <col min="12" max="12" width="16.44140625" bestFit="1" customWidth="1"/>
    <col min="13" max="13" width="22" bestFit="1" customWidth="1"/>
    <col min="14" max="14" width="12.21875" bestFit="1" customWidth="1"/>
  </cols>
  <sheetData>
    <row r="1" spans="1:14" ht="21" customHeight="1">
      <c r="A1" s="44" t="s">
        <v>701</v>
      </c>
      <c r="B1" s="44"/>
      <c r="C1" s="44"/>
      <c r="D1" s="44"/>
      <c r="E1" s="44"/>
      <c r="F1" s="44"/>
      <c r="G1" s="44"/>
      <c r="H1" s="44"/>
      <c r="I1" s="44"/>
      <c r="J1" s="44"/>
      <c r="K1" s="44"/>
      <c r="L1" s="44"/>
      <c r="M1" s="44"/>
      <c r="N1" s="44"/>
    </row>
    <row r="2" spans="1:14" ht="15" thickBot="1"/>
    <row r="3" spans="1:14" ht="16.2" thickBot="1">
      <c r="A3" s="41" t="s">
        <v>702</v>
      </c>
      <c r="B3" s="42"/>
      <c r="C3" s="42"/>
      <c r="D3" s="42"/>
      <c r="E3" s="42"/>
      <c r="F3" s="42"/>
      <c r="G3" s="42"/>
      <c r="H3" s="43"/>
    </row>
    <row r="5" spans="1:14">
      <c r="A5" s="40" t="s">
        <v>2</v>
      </c>
      <c r="B5" t="s">
        <v>711</v>
      </c>
    </row>
    <row r="6" spans="1:14">
      <c r="A6" t="s">
        <v>101</v>
      </c>
      <c r="B6" s="32">
        <v>0.23809523809523808</v>
      </c>
    </row>
    <row r="7" spans="1:14">
      <c r="A7" t="s">
        <v>24</v>
      </c>
      <c r="B7" s="32">
        <v>0.1111111111111111</v>
      </c>
    </row>
    <row r="8" spans="1:14">
      <c r="A8" t="s">
        <v>33</v>
      </c>
      <c r="B8" s="32">
        <v>0.19540229885057472</v>
      </c>
    </row>
    <row r="9" spans="1:14">
      <c r="A9" t="s">
        <v>233</v>
      </c>
      <c r="B9" s="32">
        <v>0.13636363636363635</v>
      </c>
    </row>
    <row r="10" spans="1:14">
      <c r="A10" t="s">
        <v>12</v>
      </c>
      <c r="B10" s="32">
        <v>0.2857142857142857</v>
      </c>
    </row>
    <row r="11" spans="1:14">
      <c r="A11" t="s">
        <v>83</v>
      </c>
      <c r="B11" s="32">
        <v>0.40816326530612246</v>
      </c>
    </row>
    <row r="12" spans="1:14">
      <c r="A12" t="s">
        <v>677</v>
      </c>
      <c r="B12" s="32">
        <v>0.23</v>
      </c>
    </row>
    <row r="13" spans="1:14">
      <c r="G13" s="6"/>
    </row>
    <row r="14" spans="1:14">
      <c r="G14" s="6"/>
    </row>
    <row r="15" spans="1:14">
      <c r="G15" s="6"/>
    </row>
    <row r="16" spans="1:14">
      <c r="G16" s="6"/>
    </row>
    <row r="17" spans="1:8">
      <c r="G17" s="6"/>
    </row>
    <row r="18" spans="1:8">
      <c r="G18" s="6"/>
    </row>
    <row r="21" spans="1:8" ht="15" thickBot="1"/>
    <row r="22" spans="1:8" ht="16.2" thickBot="1">
      <c r="A22" s="41" t="s">
        <v>703</v>
      </c>
      <c r="B22" s="42"/>
      <c r="C22" s="42"/>
      <c r="D22" s="42"/>
      <c r="E22" s="42"/>
      <c r="F22" s="42"/>
      <c r="G22" s="42"/>
      <c r="H22" s="43"/>
    </row>
    <row r="25" spans="1:8">
      <c r="A25" s="39" t="s">
        <v>714</v>
      </c>
      <c r="B25" t="s">
        <v>709</v>
      </c>
      <c r="E25" s="3"/>
    </row>
    <row r="26" spans="1:8">
      <c r="A26" s="3" t="s">
        <v>679</v>
      </c>
      <c r="B26" s="6">
        <v>2.9255319148936172</v>
      </c>
      <c r="E26" s="3"/>
    </row>
    <row r="27" spans="1:8">
      <c r="A27" s="3" t="s">
        <v>680</v>
      </c>
      <c r="B27" s="6">
        <v>2.4201183431952664</v>
      </c>
      <c r="E27" s="3"/>
    </row>
    <row r="28" spans="1:8">
      <c r="A28" s="3" t="s">
        <v>678</v>
      </c>
      <c r="B28" s="6">
        <v>1.4594594594594594</v>
      </c>
    </row>
    <row r="29" spans="1:8">
      <c r="A29" s="3" t="s">
        <v>677</v>
      </c>
      <c r="B29" s="6">
        <v>2.46</v>
      </c>
    </row>
    <row r="30" spans="1:8" ht="21">
      <c r="A30" s="34"/>
      <c r="B30" s="35"/>
    </row>
    <row r="31" spans="1:8" ht="21">
      <c r="A31" s="34"/>
      <c r="B31" s="35"/>
    </row>
    <row r="32" spans="1:8" ht="21">
      <c r="A32" s="34"/>
      <c r="B32" s="36"/>
    </row>
    <row r="38" spans="1:8">
      <c r="A38" s="40" t="s">
        <v>714</v>
      </c>
      <c r="B38" t="s">
        <v>708</v>
      </c>
    </row>
    <row r="39" spans="1:8">
      <c r="A39" s="3" t="s">
        <v>680</v>
      </c>
      <c r="B39" s="32">
        <v>0.23668639053254437</v>
      </c>
    </row>
    <row r="40" spans="1:8">
      <c r="A40" s="3" t="s">
        <v>679</v>
      </c>
      <c r="B40" s="32">
        <v>0.10638297872340426</v>
      </c>
    </row>
    <row r="41" spans="1:8">
      <c r="A41" s="3" t="s">
        <v>678</v>
      </c>
      <c r="B41" s="32">
        <v>0.51351351351351349</v>
      </c>
    </row>
    <row r="42" spans="1:8">
      <c r="A42" s="3" t="s">
        <v>677</v>
      </c>
      <c r="B42">
        <v>0.23</v>
      </c>
    </row>
    <row r="43" spans="1:8" ht="15" thickBot="1"/>
    <row r="44" spans="1:8" ht="16.2" thickBot="1">
      <c r="A44" s="41" t="s">
        <v>704</v>
      </c>
      <c r="B44" s="42"/>
      <c r="C44" s="42"/>
      <c r="D44" s="42"/>
      <c r="E44" s="42"/>
      <c r="F44" s="42"/>
      <c r="G44" s="42"/>
      <c r="H44" s="43"/>
    </row>
    <row r="46" spans="1:8" ht="28.8">
      <c r="A46" s="38" t="s">
        <v>713</v>
      </c>
      <c r="B46" s="37" t="s">
        <v>710</v>
      </c>
    </row>
    <row r="47" spans="1:8">
      <c r="A47" s="3" t="s">
        <v>67</v>
      </c>
      <c r="B47" s="6">
        <v>2.7910447761194028</v>
      </c>
    </row>
    <row r="48" spans="1:8">
      <c r="A48" s="3" t="s">
        <v>169</v>
      </c>
      <c r="B48" s="6">
        <v>3.3674698795180724</v>
      </c>
    </row>
    <row r="49" spans="1:8">
      <c r="A49" s="3" t="s">
        <v>677</v>
      </c>
      <c r="B49">
        <v>3.11</v>
      </c>
    </row>
    <row r="61" spans="1:8" ht="15" thickBot="1"/>
    <row r="62" spans="1:8" ht="16.2" thickBot="1">
      <c r="A62" s="41" t="s">
        <v>705</v>
      </c>
      <c r="B62" s="42"/>
      <c r="C62" s="42"/>
      <c r="D62" s="42"/>
      <c r="E62" s="42"/>
      <c r="F62" s="42"/>
      <c r="G62" s="42"/>
      <c r="H62" s="43"/>
    </row>
    <row r="64" spans="1:8">
      <c r="A64" s="5" t="s">
        <v>712</v>
      </c>
      <c r="B64" t="s">
        <v>706</v>
      </c>
    </row>
    <row r="65" spans="1:2">
      <c r="A65" s="3" t="s">
        <v>681</v>
      </c>
      <c r="B65" s="32">
        <v>0.2251655629139073</v>
      </c>
    </row>
    <row r="66" spans="1:2">
      <c r="A66" s="3" t="s">
        <v>682</v>
      </c>
      <c r="B66" s="32">
        <v>0.2857142857142857</v>
      </c>
    </row>
    <row r="67" spans="1:2">
      <c r="A67" s="3" t="s">
        <v>683</v>
      </c>
      <c r="B67" s="32">
        <v>0.21</v>
      </c>
    </row>
    <row r="68" spans="1:2">
      <c r="A68" s="3" t="s">
        <v>677</v>
      </c>
      <c r="B68">
        <v>0.23</v>
      </c>
    </row>
  </sheetData>
  <mergeCells count="5">
    <mergeCell ref="A62:H62"/>
    <mergeCell ref="A1:N1"/>
    <mergeCell ref="A3:H3"/>
    <mergeCell ref="A22:H22"/>
    <mergeCell ref="A44:H44"/>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6F0A-D2BB-4C65-AB1C-77CCF8A558AB}">
  <dimension ref="A1:L311"/>
  <sheetViews>
    <sheetView topLeftCell="A6" zoomScaleNormal="100" workbookViewId="0">
      <selection activeCell="G30" sqref="G30"/>
    </sheetView>
  </sheetViews>
  <sheetFormatPr defaultRowHeight="14.4"/>
  <cols>
    <col min="1" max="1" width="28.109375" bestFit="1" customWidth="1"/>
    <col min="2" max="2" width="19.5546875" bestFit="1" customWidth="1"/>
    <col min="3" max="3" width="23.88671875" bestFit="1" customWidth="1"/>
    <col min="4" max="4" width="22.5546875" customWidth="1"/>
    <col min="5" max="5" width="17.88671875" bestFit="1" customWidth="1"/>
    <col min="6" max="6" width="12.5546875" bestFit="1" customWidth="1"/>
    <col min="7" max="7" width="52" customWidth="1"/>
    <col min="8" max="8" width="23.5546875" bestFit="1" customWidth="1"/>
    <col min="9" max="9" width="22.6640625" bestFit="1" customWidth="1"/>
  </cols>
  <sheetData>
    <row r="1" spans="1:12" ht="14.4" customHeight="1">
      <c r="D1" s="33"/>
    </row>
    <row r="2" spans="1:12" ht="26.4" customHeight="1">
      <c r="A2" s="45" t="s">
        <v>707</v>
      </c>
      <c r="B2" s="45"/>
      <c r="C2" s="45"/>
      <c r="D2" s="45"/>
      <c r="E2" s="45"/>
      <c r="F2" s="45"/>
      <c r="G2" s="45"/>
      <c r="H2" s="45"/>
      <c r="I2" s="45"/>
    </row>
    <row r="3" spans="1:12" ht="14.4" customHeight="1">
      <c r="D3" s="33"/>
    </row>
    <row r="4" spans="1:12" ht="14.4" customHeight="1">
      <c r="D4" s="33"/>
    </row>
    <row r="5" spans="1:12" ht="14.4" customHeight="1">
      <c r="D5" s="33"/>
    </row>
    <row r="6" spans="1:12">
      <c r="A6" t="s">
        <v>692</v>
      </c>
      <c r="B6" t="s">
        <v>690</v>
      </c>
      <c r="C6" t="s">
        <v>691</v>
      </c>
    </row>
    <row r="7" spans="1:12" ht="28.8">
      <c r="A7" s="7" t="s">
        <v>684</v>
      </c>
      <c r="B7" s="17">
        <f>CORREL(Clean_Employee_Data!G2:G301,Clean_Employee_Data!L2:L301)</f>
        <v>0.28305224311057442</v>
      </c>
      <c r="C7" s="9" t="s">
        <v>687</v>
      </c>
    </row>
    <row r="8" spans="1:12" ht="28.8">
      <c r="A8" s="7" t="s">
        <v>685</v>
      </c>
      <c r="B8" s="17">
        <f>CORREL(Clean_Employee_Data!G2:G301,Clean_Employee_Data!H2:H301)</f>
        <v>-0.47996837782633683</v>
      </c>
      <c r="C8" s="9" t="s">
        <v>688</v>
      </c>
    </row>
    <row r="9" spans="1:12" ht="28.8">
      <c r="A9" s="7" t="s">
        <v>686</v>
      </c>
      <c r="B9" s="17">
        <f>CORREL(Clean_Employee_Data!F2:F301,Clean_Employee_Data!L2:L301)</f>
        <v>1.9614475269937599E-2</v>
      </c>
      <c r="C9" s="9" t="s">
        <v>689</v>
      </c>
    </row>
    <row r="10" spans="1:12">
      <c r="A10" s="10"/>
    </row>
    <row r="11" spans="1:12">
      <c r="A11" s="10" t="s">
        <v>8</v>
      </c>
      <c r="B11" s="10" t="s">
        <v>9</v>
      </c>
      <c r="C11" s="10" t="s">
        <v>693</v>
      </c>
      <c r="D11" s="10" t="s">
        <v>694</v>
      </c>
      <c r="F11" s="13" t="s">
        <v>695</v>
      </c>
      <c r="G11" s="14" t="s">
        <v>691</v>
      </c>
    </row>
    <row r="12" spans="1:12">
      <c r="A12" s="11">
        <v>3</v>
      </c>
      <c r="B12" s="2" t="s">
        <v>169</v>
      </c>
      <c r="C12" s="8">
        <f>IF(B12="YES",A12,"")</f>
        <v>3</v>
      </c>
      <c r="D12" s="8" t="str">
        <f>IF(B12="NO",A12,"")</f>
        <v/>
      </c>
      <c r="E12" s="12"/>
      <c r="F12" s="16">
        <f>_xlfn.T.TEST(C12:C311,D12:D311, 2, 3)</f>
        <v>3.2035077964042221E-8</v>
      </c>
      <c r="G12" s="18" t="s">
        <v>697</v>
      </c>
    </row>
    <row r="13" spans="1:12">
      <c r="A13" s="11">
        <v>4</v>
      </c>
      <c r="B13" s="2" t="s">
        <v>169</v>
      </c>
      <c r="C13" s="8">
        <f t="shared" ref="C13:C76" si="0">IF(B13="YES",A13,"")</f>
        <v>4</v>
      </c>
      <c r="D13" s="8" t="str">
        <f t="shared" ref="D13:D76" si="1">IF(B13="NO",A13,"")</f>
        <v/>
      </c>
      <c r="F13" s="15"/>
      <c r="G13" s="19" t="s">
        <v>696</v>
      </c>
    </row>
    <row r="14" spans="1:12">
      <c r="A14" s="11">
        <v>4</v>
      </c>
      <c r="B14" s="2" t="s">
        <v>169</v>
      </c>
      <c r="C14" s="8">
        <f t="shared" si="0"/>
        <v>4</v>
      </c>
      <c r="D14" s="8" t="str">
        <f t="shared" si="1"/>
        <v/>
      </c>
    </row>
    <row r="15" spans="1:12">
      <c r="A15" s="11">
        <v>1</v>
      </c>
      <c r="B15" s="2" t="s">
        <v>67</v>
      </c>
      <c r="C15" s="8" t="str">
        <f t="shared" si="0"/>
        <v/>
      </c>
      <c r="D15" s="8">
        <f>IF(B15="NO",A15,"")</f>
        <v>1</v>
      </c>
      <c r="F15" s="20" t="s">
        <v>676</v>
      </c>
      <c r="G15" s="21" t="s">
        <v>698</v>
      </c>
      <c r="H15" s="23" t="s">
        <v>699</v>
      </c>
      <c r="I15" s="21" t="s">
        <v>700</v>
      </c>
    </row>
    <row r="16" spans="1:12">
      <c r="A16" s="11">
        <v>3</v>
      </c>
      <c r="B16" s="2" t="s">
        <v>67</v>
      </c>
      <c r="C16" s="8" t="str">
        <f t="shared" si="0"/>
        <v/>
      </c>
      <c r="D16" s="8">
        <f t="shared" si="1"/>
        <v>3</v>
      </c>
      <c r="F16" s="24">
        <v>1</v>
      </c>
      <c r="G16" s="26">
        <v>9601.2352941176468</v>
      </c>
      <c r="H16" s="27">
        <v>2706.1833947787932</v>
      </c>
      <c r="I16" s="30">
        <v>17</v>
      </c>
      <c r="L16" s="22"/>
    </row>
    <row r="17" spans="1:9">
      <c r="A17" s="11">
        <v>1</v>
      </c>
      <c r="B17" s="2" t="s">
        <v>169</v>
      </c>
      <c r="C17" s="8">
        <f t="shared" si="0"/>
        <v>1</v>
      </c>
      <c r="D17" s="8" t="str">
        <f t="shared" si="1"/>
        <v/>
      </c>
      <c r="F17" s="24">
        <v>2</v>
      </c>
      <c r="G17" s="26">
        <v>8241.3620689655181</v>
      </c>
      <c r="H17" s="27">
        <v>3550.4424715518421</v>
      </c>
      <c r="I17" s="30">
        <v>58</v>
      </c>
    </row>
    <row r="18" spans="1:9">
      <c r="A18" s="11">
        <v>3</v>
      </c>
      <c r="B18" s="2" t="s">
        <v>67</v>
      </c>
      <c r="C18" s="8" t="str">
        <f t="shared" si="0"/>
        <v/>
      </c>
      <c r="D18" s="8">
        <f t="shared" si="1"/>
        <v>3</v>
      </c>
      <c r="F18" s="24">
        <v>3</v>
      </c>
      <c r="G18" s="26">
        <v>8458.49</v>
      </c>
      <c r="H18" s="27">
        <v>3455.3843695474934</v>
      </c>
      <c r="I18" s="30">
        <v>100</v>
      </c>
    </row>
    <row r="19" spans="1:9">
      <c r="A19" s="11">
        <v>4</v>
      </c>
      <c r="B19" s="2" t="s">
        <v>169</v>
      </c>
      <c r="C19" s="8">
        <f t="shared" si="0"/>
        <v>4</v>
      </c>
      <c r="D19" s="8" t="str">
        <f t="shared" si="1"/>
        <v/>
      </c>
      <c r="F19" s="25">
        <v>4</v>
      </c>
      <c r="G19" s="28">
        <v>8763.3119999999999</v>
      </c>
      <c r="H19" s="29">
        <v>3431.8887243596787</v>
      </c>
      <c r="I19" s="31">
        <v>125</v>
      </c>
    </row>
    <row r="20" spans="1:9">
      <c r="A20" s="11">
        <v>4</v>
      </c>
      <c r="B20" s="2" t="s">
        <v>169</v>
      </c>
      <c r="C20" s="8">
        <f t="shared" si="0"/>
        <v>4</v>
      </c>
      <c r="D20" s="8" t="str">
        <f t="shared" si="1"/>
        <v/>
      </c>
    </row>
    <row r="21" spans="1:9">
      <c r="A21" s="11">
        <v>2</v>
      </c>
      <c r="B21" s="2" t="s">
        <v>67</v>
      </c>
      <c r="C21" s="8" t="str">
        <f t="shared" si="0"/>
        <v/>
      </c>
      <c r="D21" s="8">
        <f t="shared" si="1"/>
        <v>2</v>
      </c>
    </row>
    <row r="22" spans="1:9">
      <c r="A22" s="11">
        <v>4</v>
      </c>
      <c r="B22" s="2" t="s">
        <v>169</v>
      </c>
      <c r="C22" s="8">
        <f t="shared" si="0"/>
        <v>4</v>
      </c>
      <c r="D22" s="8" t="str">
        <f t="shared" si="1"/>
        <v/>
      </c>
    </row>
    <row r="23" spans="1:9">
      <c r="A23" s="11">
        <v>2</v>
      </c>
      <c r="B23" s="2" t="s">
        <v>169</v>
      </c>
      <c r="C23" s="8">
        <f t="shared" si="0"/>
        <v>2</v>
      </c>
      <c r="D23" s="8" t="str">
        <f t="shared" si="1"/>
        <v/>
      </c>
    </row>
    <row r="24" spans="1:9">
      <c r="A24" s="11">
        <v>3</v>
      </c>
      <c r="B24" s="2" t="s">
        <v>169</v>
      </c>
      <c r="C24" s="8">
        <f t="shared" si="0"/>
        <v>3</v>
      </c>
      <c r="D24" s="8" t="str">
        <f t="shared" si="1"/>
        <v/>
      </c>
    </row>
    <row r="25" spans="1:9">
      <c r="A25" s="11">
        <v>4</v>
      </c>
      <c r="B25" s="2" t="s">
        <v>169</v>
      </c>
      <c r="C25" s="8">
        <f t="shared" si="0"/>
        <v>4</v>
      </c>
      <c r="D25" s="8" t="str">
        <f t="shared" si="1"/>
        <v/>
      </c>
    </row>
    <row r="26" spans="1:9">
      <c r="A26" s="11">
        <v>3</v>
      </c>
      <c r="B26" s="2" t="s">
        <v>67</v>
      </c>
      <c r="C26" s="8" t="str">
        <f t="shared" si="0"/>
        <v/>
      </c>
      <c r="D26" s="8">
        <f t="shared" si="1"/>
        <v>3</v>
      </c>
    </row>
    <row r="27" spans="1:9">
      <c r="A27" s="11">
        <v>3</v>
      </c>
      <c r="B27" s="2" t="s">
        <v>67</v>
      </c>
      <c r="C27" s="8" t="str">
        <f t="shared" si="0"/>
        <v/>
      </c>
      <c r="D27" s="8">
        <f t="shared" si="1"/>
        <v>3</v>
      </c>
    </row>
    <row r="28" spans="1:9">
      <c r="A28" s="11">
        <v>4</v>
      </c>
      <c r="B28" s="2" t="s">
        <v>169</v>
      </c>
      <c r="C28" s="8">
        <f t="shared" si="0"/>
        <v>4</v>
      </c>
      <c r="D28" s="8" t="str">
        <f t="shared" si="1"/>
        <v/>
      </c>
    </row>
    <row r="29" spans="1:9">
      <c r="A29" s="11">
        <v>3</v>
      </c>
      <c r="B29" s="2" t="s">
        <v>67</v>
      </c>
      <c r="C29" s="8" t="str">
        <f t="shared" si="0"/>
        <v/>
      </c>
      <c r="D29" s="8">
        <f t="shared" si="1"/>
        <v>3</v>
      </c>
    </row>
    <row r="30" spans="1:9">
      <c r="A30" s="11">
        <v>4</v>
      </c>
      <c r="B30" s="2" t="s">
        <v>169</v>
      </c>
      <c r="C30" s="8">
        <f t="shared" si="0"/>
        <v>4</v>
      </c>
      <c r="D30" s="8" t="str">
        <f t="shared" si="1"/>
        <v/>
      </c>
    </row>
    <row r="31" spans="1:9">
      <c r="A31" s="11">
        <v>3</v>
      </c>
      <c r="B31" s="2" t="s">
        <v>67</v>
      </c>
      <c r="C31" s="8" t="str">
        <f t="shared" si="0"/>
        <v/>
      </c>
      <c r="D31" s="8">
        <f t="shared" si="1"/>
        <v>3</v>
      </c>
    </row>
    <row r="32" spans="1:9">
      <c r="A32" s="11">
        <v>2</v>
      </c>
      <c r="B32" s="2" t="s">
        <v>169</v>
      </c>
      <c r="C32" s="8">
        <f t="shared" si="0"/>
        <v>2</v>
      </c>
      <c r="D32" s="8" t="str">
        <f t="shared" si="1"/>
        <v/>
      </c>
    </row>
    <row r="33" spans="1:4">
      <c r="A33" s="11">
        <v>4</v>
      </c>
      <c r="B33" s="2" t="s">
        <v>169</v>
      </c>
      <c r="C33" s="8">
        <f t="shared" si="0"/>
        <v>4</v>
      </c>
      <c r="D33" s="8" t="str">
        <f t="shared" si="1"/>
        <v/>
      </c>
    </row>
    <row r="34" spans="1:4">
      <c r="A34" s="11">
        <v>2</v>
      </c>
      <c r="B34" s="2" t="s">
        <v>67</v>
      </c>
      <c r="C34" s="8" t="str">
        <f t="shared" si="0"/>
        <v/>
      </c>
      <c r="D34" s="8">
        <f t="shared" si="1"/>
        <v>2</v>
      </c>
    </row>
    <row r="35" spans="1:4">
      <c r="A35" s="11">
        <v>3</v>
      </c>
      <c r="B35" s="2" t="s">
        <v>169</v>
      </c>
      <c r="C35" s="8">
        <f t="shared" si="0"/>
        <v>3</v>
      </c>
      <c r="D35" s="8" t="str">
        <f t="shared" si="1"/>
        <v/>
      </c>
    </row>
    <row r="36" spans="1:4">
      <c r="A36" s="11">
        <v>4</v>
      </c>
      <c r="B36" s="2" t="s">
        <v>169</v>
      </c>
      <c r="C36" s="8">
        <f t="shared" si="0"/>
        <v>4</v>
      </c>
      <c r="D36" s="8" t="str">
        <f t="shared" si="1"/>
        <v/>
      </c>
    </row>
    <row r="37" spans="1:4">
      <c r="A37" s="11">
        <v>4</v>
      </c>
      <c r="B37" s="2" t="s">
        <v>67</v>
      </c>
      <c r="C37" s="8" t="str">
        <f t="shared" si="0"/>
        <v/>
      </c>
      <c r="D37" s="8">
        <f t="shared" si="1"/>
        <v>4</v>
      </c>
    </row>
    <row r="38" spans="1:4">
      <c r="A38" s="11">
        <v>4</v>
      </c>
      <c r="B38" s="2" t="s">
        <v>169</v>
      </c>
      <c r="C38" s="8">
        <f t="shared" si="0"/>
        <v>4</v>
      </c>
      <c r="D38" s="8" t="str">
        <f t="shared" si="1"/>
        <v/>
      </c>
    </row>
    <row r="39" spans="1:4">
      <c r="A39" s="11">
        <v>4</v>
      </c>
      <c r="B39" s="2" t="s">
        <v>169</v>
      </c>
      <c r="C39" s="8">
        <f t="shared" si="0"/>
        <v>4</v>
      </c>
      <c r="D39" s="8" t="str">
        <f t="shared" si="1"/>
        <v/>
      </c>
    </row>
    <row r="40" spans="1:4">
      <c r="A40" s="11">
        <v>3</v>
      </c>
      <c r="B40" s="2" t="s">
        <v>169</v>
      </c>
      <c r="C40" s="8">
        <f t="shared" si="0"/>
        <v>3</v>
      </c>
      <c r="D40" s="8" t="str">
        <f t="shared" si="1"/>
        <v/>
      </c>
    </row>
    <row r="41" spans="1:4">
      <c r="A41" s="11">
        <v>3</v>
      </c>
      <c r="B41" s="2" t="s">
        <v>67</v>
      </c>
      <c r="C41" s="8" t="str">
        <f t="shared" si="0"/>
        <v/>
      </c>
      <c r="D41" s="8">
        <f t="shared" si="1"/>
        <v>3</v>
      </c>
    </row>
    <row r="42" spans="1:4">
      <c r="A42" s="11">
        <v>4</v>
      </c>
      <c r="B42" s="2" t="s">
        <v>169</v>
      </c>
      <c r="C42" s="8">
        <f t="shared" si="0"/>
        <v>4</v>
      </c>
      <c r="D42" s="8" t="str">
        <f t="shared" si="1"/>
        <v/>
      </c>
    </row>
    <row r="43" spans="1:4">
      <c r="A43" s="11">
        <v>3</v>
      </c>
      <c r="B43" s="2" t="s">
        <v>169</v>
      </c>
      <c r="C43" s="8">
        <f t="shared" si="0"/>
        <v>3</v>
      </c>
      <c r="D43" s="8" t="str">
        <f t="shared" si="1"/>
        <v/>
      </c>
    </row>
    <row r="44" spans="1:4">
      <c r="A44" s="11">
        <v>3</v>
      </c>
      <c r="B44" s="2" t="s">
        <v>169</v>
      </c>
      <c r="C44" s="8">
        <f t="shared" si="0"/>
        <v>3</v>
      </c>
      <c r="D44" s="8" t="str">
        <f t="shared" si="1"/>
        <v/>
      </c>
    </row>
    <row r="45" spans="1:4">
      <c r="A45" s="11">
        <v>2</v>
      </c>
      <c r="B45" s="2" t="s">
        <v>67</v>
      </c>
      <c r="C45" s="8" t="str">
        <f t="shared" si="0"/>
        <v/>
      </c>
      <c r="D45" s="8">
        <f t="shared" si="1"/>
        <v>2</v>
      </c>
    </row>
    <row r="46" spans="1:4">
      <c r="A46" s="11">
        <v>4</v>
      </c>
      <c r="B46" s="2" t="s">
        <v>67</v>
      </c>
      <c r="C46" s="8" t="str">
        <f t="shared" si="0"/>
        <v/>
      </c>
      <c r="D46" s="8">
        <f t="shared" si="1"/>
        <v>4</v>
      </c>
    </row>
    <row r="47" spans="1:4">
      <c r="A47" s="11">
        <v>2</v>
      </c>
      <c r="B47" s="2" t="s">
        <v>67</v>
      </c>
      <c r="C47" s="8" t="str">
        <f t="shared" si="0"/>
        <v/>
      </c>
      <c r="D47" s="8">
        <f t="shared" si="1"/>
        <v>2</v>
      </c>
    </row>
    <row r="48" spans="1:4">
      <c r="A48" s="11">
        <v>2</v>
      </c>
      <c r="B48" s="2" t="s">
        <v>169</v>
      </c>
      <c r="C48" s="8">
        <f t="shared" si="0"/>
        <v>2</v>
      </c>
      <c r="D48" s="8" t="str">
        <f t="shared" si="1"/>
        <v/>
      </c>
    </row>
    <row r="49" spans="1:4">
      <c r="A49" s="11">
        <v>3</v>
      </c>
      <c r="B49" s="2" t="s">
        <v>67</v>
      </c>
      <c r="C49" s="8" t="str">
        <f t="shared" si="0"/>
        <v/>
      </c>
      <c r="D49" s="8">
        <f t="shared" si="1"/>
        <v>3</v>
      </c>
    </row>
    <row r="50" spans="1:4">
      <c r="A50" s="11">
        <v>4</v>
      </c>
      <c r="B50" s="2" t="s">
        <v>169</v>
      </c>
      <c r="C50" s="8">
        <f t="shared" si="0"/>
        <v>4</v>
      </c>
      <c r="D50" s="8" t="str">
        <f t="shared" si="1"/>
        <v/>
      </c>
    </row>
    <row r="51" spans="1:4">
      <c r="A51" s="11">
        <v>4</v>
      </c>
      <c r="B51" s="2" t="s">
        <v>169</v>
      </c>
      <c r="C51" s="8">
        <f t="shared" si="0"/>
        <v>4</v>
      </c>
      <c r="D51" s="8" t="str">
        <f t="shared" si="1"/>
        <v/>
      </c>
    </row>
    <row r="52" spans="1:4">
      <c r="A52" s="11">
        <v>4</v>
      </c>
      <c r="B52" s="2" t="s">
        <v>169</v>
      </c>
      <c r="C52" s="8">
        <f t="shared" si="0"/>
        <v>4</v>
      </c>
      <c r="D52" s="8" t="str">
        <f t="shared" si="1"/>
        <v/>
      </c>
    </row>
    <row r="53" spans="1:4">
      <c r="A53" s="11">
        <v>4</v>
      </c>
      <c r="B53" s="2" t="s">
        <v>169</v>
      </c>
      <c r="C53" s="8">
        <f t="shared" si="0"/>
        <v>4</v>
      </c>
      <c r="D53" s="8" t="str">
        <f t="shared" si="1"/>
        <v/>
      </c>
    </row>
    <row r="54" spans="1:4">
      <c r="A54" s="11">
        <v>2</v>
      </c>
      <c r="B54" s="2" t="s">
        <v>169</v>
      </c>
      <c r="C54" s="8">
        <f t="shared" si="0"/>
        <v>2</v>
      </c>
      <c r="D54" s="8" t="str">
        <f t="shared" si="1"/>
        <v/>
      </c>
    </row>
    <row r="55" spans="1:4">
      <c r="A55" s="11">
        <v>4</v>
      </c>
      <c r="B55" s="2" t="s">
        <v>169</v>
      </c>
      <c r="C55" s="8">
        <f t="shared" si="0"/>
        <v>4</v>
      </c>
      <c r="D55" s="8" t="str">
        <f t="shared" si="1"/>
        <v/>
      </c>
    </row>
    <row r="56" spans="1:4">
      <c r="A56" s="11">
        <v>3</v>
      </c>
      <c r="B56" s="2" t="s">
        <v>67</v>
      </c>
      <c r="C56" s="8" t="str">
        <f t="shared" si="0"/>
        <v/>
      </c>
      <c r="D56" s="8">
        <f t="shared" si="1"/>
        <v>3</v>
      </c>
    </row>
    <row r="57" spans="1:4">
      <c r="A57" s="11">
        <v>2</v>
      </c>
      <c r="B57" s="2" t="s">
        <v>67</v>
      </c>
      <c r="C57" s="8" t="str">
        <f t="shared" si="0"/>
        <v/>
      </c>
      <c r="D57" s="8">
        <f t="shared" si="1"/>
        <v>2</v>
      </c>
    </row>
    <row r="58" spans="1:4">
      <c r="A58" s="11">
        <v>3</v>
      </c>
      <c r="B58" s="2" t="s">
        <v>67</v>
      </c>
      <c r="C58" s="8" t="str">
        <f t="shared" si="0"/>
        <v/>
      </c>
      <c r="D58" s="8">
        <f t="shared" si="1"/>
        <v>3</v>
      </c>
    </row>
    <row r="59" spans="1:4">
      <c r="A59" s="11">
        <v>2</v>
      </c>
      <c r="B59" s="2" t="s">
        <v>169</v>
      </c>
      <c r="C59" s="8">
        <f t="shared" si="0"/>
        <v>2</v>
      </c>
      <c r="D59" s="8" t="str">
        <f t="shared" si="1"/>
        <v/>
      </c>
    </row>
    <row r="60" spans="1:4">
      <c r="A60" s="11">
        <v>3</v>
      </c>
      <c r="B60" s="2" t="s">
        <v>67</v>
      </c>
      <c r="C60" s="8" t="str">
        <f t="shared" si="0"/>
        <v/>
      </c>
      <c r="D60" s="8">
        <f t="shared" si="1"/>
        <v>3</v>
      </c>
    </row>
    <row r="61" spans="1:4">
      <c r="A61" s="11">
        <v>4</v>
      </c>
      <c r="B61" s="2" t="s">
        <v>169</v>
      </c>
      <c r="C61" s="8">
        <f t="shared" si="0"/>
        <v>4</v>
      </c>
      <c r="D61" s="8" t="str">
        <f t="shared" si="1"/>
        <v/>
      </c>
    </row>
    <row r="62" spans="1:4">
      <c r="A62" s="11">
        <v>4</v>
      </c>
      <c r="B62" s="2" t="s">
        <v>169</v>
      </c>
      <c r="C62" s="8">
        <f t="shared" si="0"/>
        <v>4</v>
      </c>
      <c r="D62" s="8" t="str">
        <f t="shared" si="1"/>
        <v/>
      </c>
    </row>
    <row r="63" spans="1:4">
      <c r="A63" s="11">
        <v>3</v>
      </c>
      <c r="B63" s="2" t="s">
        <v>67</v>
      </c>
      <c r="C63" s="8" t="str">
        <f t="shared" si="0"/>
        <v/>
      </c>
      <c r="D63" s="8">
        <f t="shared" si="1"/>
        <v>3</v>
      </c>
    </row>
    <row r="64" spans="1:4">
      <c r="A64" s="11">
        <v>3</v>
      </c>
      <c r="B64" s="2" t="s">
        <v>169</v>
      </c>
      <c r="C64" s="8">
        <f t="shared" si="0"/>
        <v>3</v>
      </c>
      <c r="D64" s="8" t="str">
        <f t="shared" si="1"/>
        <v/>
      </c>
    </row>
    <row r="65" spans="1:4">
      <c r="A65" s="11">
        <v>2</v>
      </c>
      <c r="B65" s="2" t="s">
        <v>67</v>
      </c>
      <c r="C65" s="8" t="str">
        <f t="shared" si="0"/>
        <v/>
      </c>
      <c r="D65" s="8">
        <f t="shared" si="1"/>
        <v>2</v>
      </c>
    </row>
    <row r="66" spans="1:4">
      <c r="A66" s="11">
        <v>2</v>
      </c>
      <c r="B66" s="2" t="s">
        <v>67</v>
      </c>
      <c r="C66" s="8" t="str">
        <f t="shared" si="0"/>
        <v/>
      </c>
      <c r="D66" s="8">
        <f t="shared" si="1"/>
        <v>2</v>
      </c>
    </row>
    <row r="67" spans="1:4">
      <c r="A67" s="11">
        <v>4</v>
      </c>
      <c r="B67" s="2" t="s">
        <v>67</v>
      </c>
      <c r="C67" s="8" t="str">
        <f t="shared" si="0"/>
        <v/>
      </c>
      <c r="D67" s="8">
        <f t="shared" si="1"/>
        <v>4</v>
      </c>
    </row>
    <row r="68" spans="1:4">
      <c r="A68" s="11">
        <v>2</v>
      </c>
      <c r="B68" s="2" t="s">
        <v>169</v>
      </c>
      <c r="C68" s="8">
        <f t="shared" si="0"/>
        <v>2</v>
      </c>
      <c r="D68" s="8" t="str">
        <f t="shared" si="1"/>
        <v/>
      </c>
    </row>
    <row r="69" spans="1:4">
      <c r="A69" s="11">
        <v>2</v>
      </c>
      <c r="B69" s="2" t="s">
        <v>169</v>
      </c>
      <c r="C69" s="8">
        <f t="shared" si="0"/>
        <v>2</v>
      </c>
      <c r="D69" s="8" t="str">
        <f t="shared" si="1"/>
        <v/>
      </c>
    </row>
    <row r="70" spans="1:4">
      <c r="A70" s="11">
        <v>3</v>
      </c>
      <c r="B70" s="2" t="s">
        <v>169</v>
      </c>
      <c r="C70" s="8">
        <f t="shared" si="0"/>
        <v>3</v>
      </c>
      <c r="D70" s="8" t="str">
        <f t="shared" si="1"/>
        <v/>
      </c>
    </row>
    <row r="71" spans="1:4">
      <c r="A71" s="11">
        <v>4</v>
      </c>
      <c r="B71" s="2" t="s">
        <v>67</v>
      </c>
      <c r="C71" s="8" t="str">
        <f t="shared" si="0"/>
        <v/>
      </c>
      <c r="D71" s="8">
        <f t="shared" si="1"/>
        <v>4</v>
      </c>
    </row>
    <row r="72" spans="1:4">
      <c r="A72" s="11">
        <v>4</v>
      </c>
      <c r="B72" s="2" t="s">
        <v>169</v>
      </c>
      <c r="C72" s="8">
        <f t="shared" si="0"/>
        <v>4</v>
      </c>
      <c r="D72" s="8" t="str">
        <f t="shared" si="1"/>
        <v/>
      </c>
    </row>
    <row r="73" spans="1:4">
      <c r="A73" s="11">
        <v>4</v>
      </c>
      <c r="B73" s="2" t="s">
        <v>169</v>
      </c>
      <c r="C73" s="8">
        <f t="shared" si="0"/>
        <v>4</v>
      </c>
      <c r="D73" s="8" t="str">
        <f t="shared" si="1"/>
        <v/>
      </c>
    </row>
    <row r="74" spans="1:4">
      <c r="A74" s="11">
        <v>1</v>
      </c>
      <c r="B74" s="2" t="s">
        <v>67</v>
      </c>
      <c r="C74" s="8" t="str">
        <f t="shared" si="0"/>
        <v/>
      </c>
      <c r="D74" s="8">
        <f t="shared" si="1"/>
        <v>1</v>
      </c>
    </row>
    <row r="75" spans="1:4">
      <c r="A75" s="11">
        <v>3</v>
      </c>
      <c r="B75" s="2" t="s">
        <v>169</v>
      </c>
      <c r="C75" s="8">
        <f t="shared" si="0"/>
        <v>3</v>
      </c>
      <c r="D75" s="8" t="str">
        <f t="shared" si="1"/>
        <v/>
      </c>
    </row>
    <row r="76" spans="1:4">
      <c r="A76" s="11">
        <v>3</v>
      </c>
      <c r="B76" s="2" t="s">
        <v>67</v>
      </c>
      <c r="C76" s="8" t="str">
        <f t="shared" si="0"/>
        <v/>
      </c>
      <c r="D76" s="8">
        <f t="shared" si="1"/>
        <v>3</v>
      </c>
    </row>
    <row r="77" spans="1:4">
      <c r="A77" s="11">
        <v>3</v>
      </c>
      <c r="B77" s="2" t="s">
        <v>169</v>
      </c>
      <c r="C77" s="8">
        <f t="shared" ref="C77:C140" si="2">IF(B77="YES",A77,"")</f>
        <v>3</v>
      </c>
      <c r="D77" s="8" t="str">
        <f t="shared" ref="D77:D140" si="3">IF(B77="NO",A77,"")</f>
        <v/>
      </c>
    </row>
    <row r="78" spans="1:4">
      <c r="A78" s="11">
        <v>4</v>
      </c>
      <c r="B78" s="2" t="s">
        <v>169</v>
      </c>
      <c r="C78" s="8">
        <f t="shared" si="2"/>
        <v>4</v>
      </c>
      <c r="D78" s="8" t="str">
        <f t="shared" si="3"/>
        <v/>
      </c>
    </row>
    <row r="79" spans="1:4">
      <c r="A79" s="11">
        <v>2</v>
      </c>
      <c r="B79" s="2" t="s">
        <v>169</v>
      </c>
      <c r="C79" s="8">
        <f t="shared" si="2"/>
        <v>2</v>
      </c>
      <c r="D79" s="8" t="str">
        <f t="shared" si="3"/>
        <v/>
      </c>
    </row>
    <row r="80" spans="1:4">
      <c r="A80" s="11">
        <v>4</v>
      </c>
      <c r="B80" s="2" t="s">
        <v>169</v>
      </c>
      <c r="C80" s="8">
        <f t="shared" si="2"/>
        <v>4</v>
      </c>
      <c r="D80" s="8" t="str">
        <f t="shared" si="3"/>
        <v/>
      </c>
    </row>
    <row r="81" spans="1:4">
      <c r="A81" s="11">
        <v>3</v>
      </c>
      <c r="B81" s="2" t="s">
        <v>67</v>
      </c>
      <c r="C81" s="8" t="str">
        <f t="shared" si="2"/>
        <v/>
      </c>
      <c r="D81" s="8">
        <f t="shared" si="3"/>
        <v>3</v>
      </c>
    </row>
    <row r="82" spans="1:4">
      <c r="A82" s="11">
        <v>2</v>
      </c>
      <c r="B82" s="2" t="s">
        <v>169</v>
      </c>
      <c r="C82" s="8">
        <f t="shared" si="2"/>
        <v>2</v>
      </c>
      <c r="D82" s="8" t="str">
        <f t="shared" si="3"/>
        <v/>
      </c>
    </row>
    <row r="83" spans="1:4">
      <c r="A83" s="11">
        <v>2</v>
      </c>
      <c r="B83" s="2" t="s">
        <v>169</v>
      </c>
      <c r="C83" s="8">
        <f t="shared" si="2"/>
        <v>2</v>
      </c>
      <c r="D83" s="8" t="str">
        <f t="shared" si="3"/>
        <v/>
      </c>
    </row>
    <row r="84" spans="1:4">
      <c r="A84" s="11">
        <v>3</v>
      </c>
      <c r="B84" s="2" t="s">
        <v>169</v>
      </c>
      <c r="C84" s="8">
        <f t="shared" si="2"/>
        <v>3</v>
      </c>
      <c r="D84" s="8" t="str">
        <f t="shared" si="3"/>
        <v/>
      </c>
    </row>
    <row r="85" spans="1:4">
      <c r="A85" s="11">
        <v>2</v>
      </c>
      <c r="B85" s="2" t="s">
        <v>67</v>
      </c>
      <c r="C85" s="8" t="str">
        <f t="shared" si="2"/>
        <v/>
      </c>
      <c r="D85" s="8">
        <f t="shared" si="3"/>
        <v>2</v>
      </c>
    </row>
    <row r="86" spans="1:4">
      <c r="A86" s="11">
        <v>3</v>
      </c>
      <c r="B86" s="2" t="s">
        <v>67</v>
      </c>
      <c r="C86" s="8" t="str">
        <f t="shared" si="2"/>
        <v/>
      </c>
      <c r="D86" s="8">
        <f t="shared" si="3"/>
        <v>3</v>
      </c>
    </row>
    <row r="87" spans="1:4">
      <c r="A87" s="11">
        <v>2</v>
      </c>
      <c r="B87" s="2" t="s">
        <v>67</v>
      </c>
      <c r="C87" s="8" t="str">
        <f t="shared" si="2"/>
        <v/>
      </c>
      <c r="D87" s="8">
        <f t="shared" si="3"/>
        <v>2</v>
      </c>
    </row>
    <row r="88" spans="1:4">
      <c r="A88" s="11">
        <v>4</v>
      </c>
      <c r="B88" s="2" t="s">
        <v>169</v>
      </c>
      <c r="C88" s="8">
        <f t="shared" si="2"/>
        <v>4</v>
      </c>
      <c r="D88" s="8" t="str">
        <f t="shared" si="3"/>
        <v/>
      </c>
    </row>
    <row r="89" spans="1:4">
      <c r="A89" s="11">
        <v>4</v>
      </c>
      <c r="B89" s="2" t="s">
        <v>169</v>
      </c>
      <c r="C89" s="8">
        <f t="shared" si="2"/>
        <v>4</v>
      </c>
      <c r="D89" s="8" t="str">
        <f t="shared" si="3"/>
        <v/>
      </c>
    </row>
    <row r="90" spans="1:4">
      <c r="A90" s="11">
        <v>4</v>
      </c>
      <c r="B90" s="2" t="s">
        <v>169</v>
      </c>
      <c r="C90" s="8">
        <f t="shared" si="2"/>
        <v>4</v>
      </c>
      <c r="D90" s="8" t="str">
        <f t="shared" si="3"/>
        <v/>
      </c>
    </row>
    <row r="91" spans="1:4">
      <c r="A91" s="11">
        <v>2</v>
      </c>
      <c r="B91" s="2" t="s">
        <v>169</v>
      </c>
      <c r="C91" s="8">
        <f t="shared" si="2"/>
        <v>2</v>
      </c>
      <c r="D91" s="8" t="str">
        <f t="shared" si="3"/>
        <v/>
      </c>
    </row>
    <row r="92" spans="1:4">
      <c r="A92" s="11">
        <v>2</v>
      </c>
      <c r="B92" s="2" t="s">
        <v>67</v>
      </c>
      <c r="C92" s="8" t="str">
        <f t="shared" si="2"/>
        <v/>
      </c>
      <c r="D92" s="8">
        <f t="shared" si="3"/>
        <v>2</v>
      </c>
    </row>
    <row r="93" spans="1:4">
      <c r="A93" s="11">
        <v>3</v>
      </c>
      <c r="B93" s="2" t="s">
        <v>169</v>
      </c>
      <c r="C93" s="8">
        <f t="shared" si="2"/>
        <v>3</v>
      </c>
      <c r="D93" s="8" t="str">
        <f t="shared" si="3"/>
        <v/>
      </c>
    </row>
    <row r="94" spans="1:4">
      <c r="A94" s="11">
        <v>3</v>
      </c>
      <c r="B94" s="2" t="s">
        <v>169</v>
      </c>
      <c r="C94" s="8">
        <f t="shared" si="2"/>
        <v>3</v>
      </c>
      <c r="D94" s="8" t="str">
        <f t="shared" si="3"/>
        <v/>
      </c>
    </row>
    <row r="95" spans="1:4">
      <c r="A95" s="11">
        <v>3</v>
      </c>
      <c r="B95" s="2" t="s">
        <v>67</v>
      </c>
      <c r="C95" s="8" t="str">
        <f t="shared" si="2"/>
        <v/>
      </c>
      <c r="D95" s="8">
        <f t="shared" si="3"/>
        <v>3</v>
      </c>
    </row>
    <row r="96" spans="1:4">
      <c r="A96" s="11">
        <v>3</v>
      </c>
      <c r="B96" s="2" t="s">
        <v>67</v>
      </c>
      <c r="C96" s="8" t="str">
        <f t="shared" si="2"/>
        <v/>
      </c>
      <c r="D96" s="8">
        <f t="shared" si="3"/>
        <v>3</v>
      </c>
    </row>
    <row r="97" spans="1:4">
      <c r="A97" s="11">
        <v>4</v>
      </c>
      <c r="B97" s="2" t="s">
        <v>169</v>
      </c>
      <c r="C97" s="8">
        <f t="shared" si="2"/>
        <v>4</v>
      </c>
      <c r="D97" s="8" t="str">
        <f t="shared" si="3"/>
        <v/>
      </c>
    </row>
    <row r="98" spans="1:4">
      <c r="A98" s="11">
        <v>4</v>
      </c>
      <c r="B98" s="2" t="s">
        <v>169</v>
      </c>
      <c r="C98" s="8">
        <f t="shared" si="2"/>
        <v>4</v>
      </c>
      <c r="D98" s="8" t="str">
        <f t="shared" si="3"/>
        <v/>
      </c>
    </row>
    <row r="99" spans="1:4">
      <c r="A99" s="11">
        <v>1</v>
      </c>
      <c r="B99" s="2" t="s">
        <v>169</v>
      </c>
      <c r="C99" s="8">
        <f t="shared" si="2"/>
        <v>1</v>
      </c>
      <c r="D99" s="8" t="str">
        <f t="shared" si="3"/>
        <v/>
      </c>
    </row>
    <row r="100" spans="1:4">
      <c r="A100" s="11">
        <v>3</v>
      </c>
      <c r="B100" s="2" t="s">
        <v>67</v>
      </c>
      <c r="C100" s="8" t="str">
        <f t="shared" si="2"/>
        <v/>
      </c>
      <c r="D100" s="8">
        <f t="shared" si="3"/>
        <v>3</v>
      </c>
    </row>
    <row r="101" spans="1:4">
      <c r="A101" s="11">
        <v>4</v>
      </c>
      <c r="B101" s="2" t="s">
        <v>67</v>
      </c>
      <c r="C101" s="8" t="str">
        <f t="shared" si="2"/>
        <v/>
      </c>
      <c r="D101" s="8">
        <f t="shared" si="3"/>
        <v>4</v>
      </c>
    </row>
    <row r="102" spans="1:4">
      <c r="A102" s="11">
        <v>1</v>
      </c>
      <c r="B102" s="2" t="s">
        <v>67</v>
      </c>
      <c r="C102" s="8" t="str">
        <f t="shared" si="2"/>
        <v/>
      </c>
      <c r="D102" s="8">
        <f t="shared" si="3"/>
        <v>1</v>
      </c>
    </row>
    <row r="103" spans="1:4">
      <c r="A103" s="11">
        <v>4</v>
      </c>
      <c r="B103" s="2" t="s">
        <v>169</v>
      </c>
      <c r="C103" s="8">
        <f t="shared" si="2"/>
        <v>4</v>
      </c>
      <c r="D103" s="8" t="str">
        <f t="shared" si="3"/>
        <v/>
      </c>
    </row>
    <row r="104" spans="1:4">
      <c r="A104" s="11">
        <v>3</v>
      </c>
      <c r="B104" s="2" t="s">
        <v>169</v>
      </c>
      <c r="C104" s="8">
        <f t="shared" si="2"/>
        <v>3</v>
      </c>
      <c r="D104" s="8" t="str">
        <f t="shared" si="3"/>
        <v/>
      </c>
    </row>
    <row r="105" spans="1:4">
      <c r="A105" s="11">
        <v>4</v>
      </c>
      <c r="B105" s="2" t="s">
        <v>169</v>
      </c>
      <c r="C105" s="8">
        <f t="shared" si="2"/>
        <v>4</v>
      </c>
      <c r="D105" s="8" t="str">
        <f t="shared" si="3"/>
        <v/>
      </c>
    </row>
    <row r="106" spans="1:4">
      <c r="A106" s="11">
        <v>4</v>
      </c>
      <c r="B106" s="2" t="s">
        <v>169</v>
      </c>
      <c r="C106" s="8">
        <f t="shared" si="2"/>
        <v>4</v>
      </c>
      <c r="D106" s="8" t="str">
        <f t="shared" si="3"/>
        <v/>
      </c>
    </row>
    <row r="107" spans="1:4">
      <c r="A107" s="11">
        <v>2</v>
      </c>
      <c r="B107" s="2" t="s">
        <v>67</v>
      </c>
      <c r="C107" s="8" t="str">
        <f t="shared" si="2"/>
        <v/>
      </c>
      <c r="D107" s="8">
        <f t="shared" si="3"/>
        <v>2</v>
      </c>
    </row>
    <row r="108" spans="1:4">
      <c r="A108" s="11">
        <v>4</v>
      </c>
      <c r="B108" s="2" t="s">
        <v>169</v>
      </c>
      <c r="C108" s="8">
        <f t="shared" si="2"/>
        <v>4</v>
      </c>
      <c r="D108" s="8" t="str">
        <f t="shared" si="3"/>
        <v/>
      </c>
    </row>
    <row r="109" spans="1:4">
      <c r="A109" s="11">
        <v>4</v>
      </c>
      <c r="B109" s="2" t="s">
        <v>169</v>
      </c>
      <c r="C109" s="8">
        <f t="shared" si="2"/>
        <v>4</v>
      </c>
      <c r="D109" s="8" t="str">
        <f t="shared" si="3"/>
        <v/>
      </c>
    </row>
    <row r="110" spans="1:4">
      <c r="A110" s="11">
        <v>3</v>
      </c>
      <c r="B110" s="2" t="s">
        <v>169</v>
      </c>
      <c r="C110" s="8">
        <f t="shared" si="2"/>
        <v>3</v>
      </c>
      <c r="D110" s="8" t="str">
        <f t="shared" si="3"/>
        <v/>
      </c>
    </row>
    <row r="111" spans="1:4">
      <c r="A111" s="11">
        <v>2</v>
      </c>
      <c r="B111" s="2" t="s">
        <v>67</v>
      </c>
      <c r="C111" s="8" t="str">
        <f t="shared" si="2"/>
        <v/>
      </c>
      <c r="D111" s="8">
        <f t="shared" si="3"/>
        <v>2</v>
      </c>
    </row>
    <row r="112" spans="1:4">
      <c r="A112" s="11">
        <v>2</v>
      </c>
      <c r="B112" s="2" t="s">
        <v>67</v>
      </c>
      <c r="C112" s="8" t="str">
        <f t="shared" si="2"/>
        <v/>
      </c>
      <c r="D112" s="8">
        <f t="shared" si="3"/>
        <v>2</v>
      </c>
    </row>
    <row r="113" spans="1:4">
      <c r="A113" s="11">
        <v>3</v>
      </c>
      <c r="B113" s="2" t="s">
        <v>67</v>
      </c>
      <c r="C113" s="8" t="str">
        <f t="shared" si="2"/>
        <v/>
      </c>
      <c r="D113" s="8">
        <f t="shared" si="3"/>
        <v>3</v>
      </c>
    </row>
    <row r="114" spans="1:4">
      <c r="A114" s="11">
        <v>3</v>
      </c>
      <c r="B114" s="2" t="s">
        <v>169</v>
      </c>
      <c r="C114" s="8">
        <f t="shared" si="2"/>
        <v>3</v>
      </c>
      <c r="D114" s="8" t="str">
        <f t="shared" si="3"/>
        <v/>
      </c>
    </row>
    <row r="115" spans="1:4">
      <c r="A115" s="11">
        <v>4</v>
      </c>
      <c r="B115" s="2" t="s">
        <v>169</v>
      </c>
      <c r="C115" s="8">
        <f t="shared" si="2"/>
        <v>4</v>
      </c>
      <c r="D115" s="8" t="str">
        <f t="shared" si="3"/>
        <v/>
      </c>
    </row>
    <row r="116" spans="1:4">
      <c r="A116" s="11">
        <v>4</v>
      </c>
      <c r="B116" s="2" t="s">
        <v>169</v>
      </c>
      <c r="C116" s="8">
        <f t="shared" si="2"/>
        <v>4</v>
      </c>
      <c r="D116" s="8" t="str">
        <f t="shared" si="3"/>
        <v/>
      </c>
    </row>
    <row r="117" spans="1:4">
      <c r="A117" s="11">
        <v>1</v>
      </c>
      <c r="B117" s="2" t="s">
        <v>67</v>
      </c>
      <c r="C117" s="8" t="str">
        <f t="shared" si="2"/>
        <v/>
      </c>
      <c r="D117" s="8">
        <f t="shared" si="3"/>
        <v>1</v>
      </c>
    </row>
    <row r="118" spans="1:4">
      <c r="A118" s="11">
        <v>2</v>
      </c>
      <c r="B118" s="2" t="s">
        <v>67</v>
      </c>
      <c r="C118" s="8" t="str">
        <f t="shared" si="2"/>
        <v/>
      </c>
      <c r="D118" s="8">
        <f t="shared" si="3"/>
        <v>2</v>
      </c>
    </row>
    <row r="119" spans="1:4">
      <c r="A119" s="11">
        <v>3</v>
      </c>
      <c r="B119" s="2" t="s">
        <v>169</v>
      </c>
      <c r="C119" s="8">
        <f t="shared" si="2"/>
        <v>3</v>
      </c>
      <c r="D119" s="8" t="str">
        <f t="shared" si="3"/>
        <v/>
      </c>
    </row>
    <row r="120" spans="1:4">
      <c r="A120" s="11">
        <v>4</v>
      </c>
      <c r="B120" s="2" t="s">
        <v>169</v>
      </c>
      <c r="C120" s="8">
        <f t="shared" si="2"/>
        <v>4</v>
      </c>
      <c r="D120" s="8" t="str">
        <f t="shared" si="3"/>
        <v/>
      </c>
    </row>
    <row r="121" spans="1:4">
      <c r="A121" s="11">
        <v>4</v>
      </c>
      <c r="B121" s="2" t="s">
        <v>67</v>
      </c>
      <c r="C121" s="8" t="str">
        <f t="shared" si="2"/>
        <v/>
      </c>
      <c r="D121" s="8">
        <f t="shared" si="3"/>
        <v>4</v>
      </c>
    </row>
    <row r="122" spans="1:4">
      <c r="A122" s="11">
        <v>4</v>
      </c>
      <c r="B122" s="2" t="s">
        <v>169</v>
      </c>
      <c r="C122" s="8">
        <f t="shared" si="2"/>
        <v>4</v>
      </c>
      <c r="D122" s="8" t="str">
        <f t="shared" si="3"/>
        <v/>
      </c>
    </row>
    <row r="123" spans="1:4">
      <c r="A123" s="11">
        <v>4</v>
      </c>
      <c r="B123" s="2" t="s">
        <v>169</v>
      </c>
      <c r="C123" s="8">
        <f t="shared" si="2"/>
        <v>4</v>
      </c>
      <c r="D123" s="8" t="str">
        <f t="shared" si="3"/>
        <v/>
      </c>
    </row>
    <row r="124" spans="1:4">
      <c r="A124" s="11">
        <v>3</v>
      </c>
      <c r="B124" s="2" t="s">
        <v>67</v>
      </c>
      <c r="C124" s="8" t="str">
        <f t="shared" si="2"/>
        <v/>
      </c>
      <c r="D124" s="8">
        <f t="shared" si="3"/>
        <v>3</v>
      </c>
    </row>
    <row r="125" spans="1:4">
      <c r="A125" s="11">
        <v>2</v>
      </c>
      <c r="B125" s="2" t="s">
        <v>169</v>
      </c>
      <c r="C125" s="8">
        <f t="shared" si="2"/>
        <v>2</v>
      </c>
      <c r="D125" s="8" t="str">
        <f t="shared" si="3"/>
        <v/>
      </c>
    </row>
    <row r="126" spans="1:4">
      <c r="A126" s="11">
        <v>2</v>
      </c>
      <c r="B126" s="2" t="s">
        <v>67</v>
      </c>
      <c r="C126" s="8" t="str">
        <f t="shared" si="2"/>
        <v/>
      </c>
      <c r="D126" s="8">
        <f t="shared" si="3"/>
        <v>2</v>
      </c>
    </row>
    <row r="127" spans="1:4">
      <c r="A127" s="11">
        <v>4</v>
      </c>
      <c r="B127" s="2" t="s">
        <v>169</v>
      </c>
      <c r="C127" s="8">
        <f t="shared" si="2"/>
        <v>4</v>
      </c>
      <c r="D127" s="8" t="str">
        <f t="shared" si="3"/>
        <v/>
      </c>
    </row>
    <row r="128" spans="1:4">
      <c r="A128" s="11">
        <v>4</v>
      </c>
      <c r="B128" s="2" t="s">
        <v>169</v>
      </c>
      <c r="C128" s="8">
        <f t="shared" si="2"/>
        <v>4</v>
      </c>
      <c r="D128" s="8" t="str">
        <f t="shared" si="3"/>
        <v/>
      </c>
    </row>
    <row r="129" spans="1:4">
      <c r="A129" s="11">
        <v>4</v>
      </c>
      <c r="B129" s="2" t="s">
        <v>67</v>
      </c>
      <c r="C129" s="8" t="str">
        <f t="shared" si="2"/>
        <v/>
      </c>
      <c r="D129" s="8">
        <f t="shared" si="3"/>
        <v>4</v>
      </c>
    </row>
    <row r="130" spans="1:4">
      <c r="A130" s="11">
        <v>2</v>
      </c>
      <c r="B130" s="2" t="s">
        <v>67</v>
      </c>
      <c r="C130" s="8" t="str">
        <f t="shared" si="2"/>
        <v/>
      </c>
      <c r="D130" s="8">
        <f t="shared" si="3"/>
        <v>2</v>
      </c>
    </row>
    <row r="131" spans="1:4">
      <c r="A131" s="11">
        <v>4</v>
      </c>
      <c r="B131" s="2" t="s">
        <v>67</v>
      </c>
      <c r="C131" s="8" t="str">
        <f t="shared" si="2"/>
        <v/>
      </c>
      <c r="D131" s="8">
        <f t="shared" si="3"/>
        <v>4</v>
      </c>
    </row>
    <row r="132" spans="1:4">
      <c r="A132" s="11">
        <v>4</v>
      </c>
      <c r="B132" s="2" t="s">
        <v>169</v>
      </c>
      <c r="C132" s="8">
        <f t="shared" si="2"/>
        <v>4</v>
      </c>
      <c r="D132" s="8" t="str">
        <f t="shared" si="3"/>
        <v/>
      </c>
    </row>
    <row r="133" spans="1:4">
      <c r="A133" s="11">
        <v>3</v>
      </c>
      <c r="B133" s="2" t="s">
        <v>169</v>
      </c>
      <c r="C133" s="8">
        <f t="shared" si="2"/>
        <v>3</v>
      </c>
      <c r="D133" s="8" t="str">
        <f t="shared" si="3"/>
        <v/>
      </c>
    </row>
    <row r="134" spans="1:4">
      <c r="A134" s="11">
        <v>2</v>
      </c>
      <c r="B134" s="2" t="s">
        <v>67</v>
      </c>
      <c r="C134" s="8" t="str">
        <f t="shared" si="2"/>
        <v/>
      </c>
      <c r="D134" s="8">
        <f t="shared" si="3"/>
        <v>2</v>
      </c>
    </row>
    <row r="135" spans="1:4">
      <c r="A135" s="11">
        <v>3</v>
      </c>
      <c r="B135" s="2" t="s">
        <v>169</v>
      </c>
      <c r="C135" s="8">
        <f t="shared" si="2"/>
        <v>3</v>
      </c>
      <c r="D135" s="8" t="str">
        <f t="shared" si="3"/>
        <v/>
      </c>
    </row>
    <row r="136" spans="1:4">
      <c r="A136" s="11">
        <v>2</v>
      </c>
      <c r="B136" s="2" t="s">
        <v>169</v>
      </c>
      <c r="C136" s="8">
        <f t="shared" si="2"/>
        <v>2</v>
      </c>
      <c r="D136" s="8" t="str">
        <f t="shared" si="3"/>
        <v/>
      </c>
    </row>
    <row r="137" spans="1:4">
      <c r="A137" s="11">
        <v>4</v>
      </c>
      <c r="B137" s="2" t="s">
        <v>67</v>
      </c>
      <c r="C137" s="8" t="str">
        <f t="shared" si="2"/>
        <v/>
      </c>
      <c r="D137" s="8">
        <f t="shared" si="3"/>
        <v>4</v>
      </c>
    </row>
    <row r="138" spans="1:4">
      <c r="A138" s="11">
        <v>4</v>
      </c>
      <c r="B138" s="2" t="s">
        <v>169</v>
      </c>
      <c r="C138" s="8">
        <f t="shared" si="2"/>
        <v>4</v>
      </c>
      <c r="D138" s="8" t="str">
        <f t="shared" si="3"/>
        <v/>
      </c>
    </row>
    <row r="139" spans="1:4">
      <c r="A139" s="11">
        <v>4</v>
      </c>
      <c r="B139" s="2" t="s">
        <v>169</v>
      </c>
      <c r="C139" s="8">
        <f t="shared" si="2"/>
        <v>4</v>
      </c>
      <c r="D139" s="8" t="str">
        <f t="shared" si="3"/>
        <v/>
      </c>
    </row>
    <row r="140" spans="1:4">
      <c r="A140" s="11">
        <v>4</v>
      </c>
      <c r="B140" s="2" t="s">
        <v>169</v>
      </c>
      <c r="C140" s="8">
        <f t="shared" si="2"/>
        <v>4</v>
      </c>
      <c r="D140" s="8" t="str">
        <f t="shared" si="3"/>
        <v/>
      </c>
    </row>
    <row r="141" spans="1:4">
      <c r="A141" s="11">
        <v>3</v>
      </c>
      <c r="B141" s="2" t="s">
        <v>67</v>
      </c>
      <c r="C141" s="8" t="str">
        <f t="shared" ref="C141:C204" si="4">IF(B141="YES",A141,"")</f>
        <v/>
      </c>
      <c r="D141" s="8">
        <f t="shared" ref="D141:D204" si="5">IF(B141="NO",A141,"")</f>
        <v>3</v>
      </c>
    </row>
    <row r="142" spans="1:4">
      <c r="A142" s="11">
        <v>1</v>
      </c>
      <c r="B142" s="2" t="s">
        <v>67</v>
      </c>
      <c r="C142" s="8" t="str">
        <f t="shared" si="4"/>
        <v/>
      </c>
      <c r="D142" s="8">
        <f t="shared" si="5"/>
        <v>1</v>
      </c>
    </row>
    <row r="143" spans="1:4">
      <c r="A143" s="11">
        <v>2</v>
      </c>
      <c r="B143" s="2" t="s">
        <v>169</v>
      </c>
      <c r="C143" s="8">
        <f t="shared" si="4"/>
        <v>2</v>
      </c>
      <c r="D143" s="8" t="str">
        <f t="shared" si="5"/>
        <v/>
      </c>
    </row>
    <row r="144" spans="1:4">
      <c r="A144" s="11">
        <v>4</v>
      </c>
      <c r="B144" s="2" t="s">
        <v>67</v>
      </c>
      <c r="C144" s="8" t="str">
        <f t="shared" si="4"/>
        <v/>
      </c>
      <c r="D144" s="8">
        <f t="shared" si="5"/>
        <v>4</v>
      </c>
    </row>
    <row r="145" spans="1:4">
      <c r="A145" s="11">
        <v>4</v>
      </c>
      <c r="B145" s="2" t="s">
        <v>169</v>
      </c>
      <c r="C145" s="8">
        <f t="shared" si="4"/>
        <v>4</v>
      </c>
      <c r="D145" s="8" t="str">
        <f t="shared" si="5"/>
        <v/>
      </c>
    </row>
    <row r="146" spans="1:4">
      <c r="A146" s="11">
        <v>4</v>
      </c>
      <c r="B146" s="2" t="s">
        <v>169</v>
      </c>
      <c r="C146" s="8">
        <f t="shared" si="4"/>
        <v>4</v>
      </c>
      <c r="D146" s="8" t="str">
        <f t="shared" si="5"/>
        <v/>
      </c>
    </row>
    <row r="147" spans="1:4">
      <c r="A147" s="11">
        <v>3</v>
      </c>
      <c r="B147" s="2" t="s">
        <v>67</v>
      </c>
      <c r="C147" s="8" t="str">
        <f t="shared" si="4"/>
        <v/>
      </c>
      <c r="D147" s="8">
        <f t="shared" si="5"/>
        <v>3</v>
      </c>
    </row>
    <row r="148" spans="1:4">
      <c r="A148" s="11">
        <v>2</v>
      </c>
      <c r="B148" s="2" t="s">
        <v>169</v>
      </c>
      <c r="C148" s="8">
        <f t="shared" si="4"/>
        <v>2</v>
      </c>
      <c r="D148" s="8" t="str">
        <f t="shared" si="5"/>
        <v/>
      </c>
    </row>
    <row r="149" spans="1:4">
      <c r="A149" s="11">
        <v>4</v>
      </c>
      <c r="B149" s="2" t="s">
        <v>67</v>
      </c>
      <c r="C149" s="8" t="str">
        <f t="shared" si="4"/>
        <v/>
      </c>
      <c r="D149" s="8">
        <f t="shared" si="5"/>
        <v>4</v>
      </c>
    </row>
    <row r="150" spans="1:4">
      <c r="A150" s="11">
        <v>2</v>
      </c>
      <c r="B150" s="2" t="s">
        <v>67</v>
      </c>
      <c r="C150" s="8" t="str">
        <f t="shared" si="4"/>
        <v/>
      </c>
      <c r="D150" s="8">
        <f t="shared" si="5"/>
        <v>2</v>
      </c>
    </row>
    <row r="151" spans="1:4">
      <c r="A151" s="11">
        <v>4</v>
      </c>
      <c r="B151" s="2" t="s">
        <v>67</v>
      </c>
      <c r="C151" s="8" t="str">
        <f t="shared" si="4"/>
        <v/>
      </c>
      <c r="D151" s="8">
        <f t="shared" si="5"/>
        <v>4</v>
      </c>
    </row>
    <row r="152" spans="1:4">
      <c r="A152" s="11">
        <v>3</v>
      </c>
      <c r="B152" s="2" t="s">
        <v>67</v>
      </c>
      <c r="C152" s="8" t="str">
        <f t="shared" si="4"/>
        <v/>
      </c>
      <c r="D152" s="8">
        <f t="shared" si="5"/>
        <v>3</v>
      </c>
    </row>
    <row r="153" spans="1:4">
      <c r="A153" s="11">
        <v>4</v>
      </c>
      <c r="B153" s="2" t="s">
        <v>169</v>
      </c>
      <c r="C153" s="8">
        <f t="shared" si="4"/>
        <v>4</v>
      </c>
      <c r="D153" s="8" t="str">
        <f t="shared" si="5"/>
        <v/>
      </c>
    </row>
    <row r="154" spans="1:4">
      <c r="A154" s="11">
        <v>4</v>
      </c>
      <c r="B154" s="2" t="s">
        <v>169</v>
      </c>
      <c r="C154" s="8">
        <f t="shared" si="4"/>
        <v>4</v>
      </c>
      <c r="D154" s="8" t="str">
        <f t="shared" si="5"/>
        <v/>
      </c>
    </row>
    <row r="155" spans="1:4">
      <c r="A155" s="11">
        <v>4</v>
      </c>
      <c r="B155" s="2" t="s">
        <v>67</v>
      </c>
      <c r="C155" s="8" t="str">
        <f t="shared" si="4"/>
        <v/>
      </c>
      <c r="D155" s="8">
        <f t="shared" si="5"/>
        <v>4</v>
      </c>
    </row>
    <row r="156" spans="1:4">
      <c r="A156" s="11">
        <v>4</v>
      </c>
      <c r="B156" s="2" t="s">
        <v>169</v>
      </c>
      <c r="C156" s="8">
        <f t="shared" si="4"/>
        <v>4</v>
      </c>
      <c r="D156" s="8" t="str">
        <f t="shared" si="5"/>
        <v/>
      </c>
    </row>
    <row r="157" spans="1:4">
      <c r="A157" s="11">
        <v>1</v>
      </c>
      <c r="B157" s="2" t="s">
        <v>67</v>
      </c>
      <c r="C157" s="8" t="str">
        <f t="shared" si="4"/>
        <v/>
      </c>
      <c r="D157" s="8">
        <f t="shared" si="5"/>
        <v>1</v>
      </c>
    </row>
    <row r="158" spans="1:4">
      <c r="A158" s="11">
        <v>4</v>
      </c>
      <c r="B158" s="2" t="s">
        <v>67</v>
      </c>
      <c r="C158" s="8" t="str">
        <f t="shared" si="4"/>
        <v/>
      </c>
      <c r="D158" s="8">
        <f t="shared" si="5"/>
        <v>4</v>
      </c>
    </row>
    <row r="159" spans="1:4">
      <c r="A159" s="11">
        <v>4</v>
      </c>
      <c r="B159" s="2" t="s">
        <v>67</v>
      </c>
      <c r="C159" s="8" t="str">
        <f t="shared" si="4"/>
        <v/>
      </c>
      <c r="D159" s="8">
        <f t="shared" si="5"/>
        <v>4</v>
      </c>
    </row>
    <row r="160" spans="1:4">
      <c r="A160" s="11">
        <v>3</v>
      </c>
      <c r="B160" s="2" t="s">
        <v>67</v>
      </c>
      <c r="C160" s="8" t="str">
        <f t="shared" si="4"/>
        <v/>
      </c>
      <c r="D160" s="8">
        <f t="shared" si="5"/>
        <v>3</v>
      </c>
    </row>
    <row r="161" spans="1:4">
      <c r="A161" s="11">
        <v>3</v>
      </c>
      <c r="B161" s="2" t="s">
        <v>169</v>
      </c>
      <c r="C161" s="8">
        <f t="shared" si="4"/>
        <v>3</v>
      </c>
      <c r="D161" s="8" t="str">
        <f t="shared" si="5"/>
        <v/>
      </c>
    </row>
    <row r="162" spans="1:4">
      <c r="A162" s="11">
        <v>2</v>
      </c>
      <c r="B162" s="2" t="s">
        <v>67</v>
      </c>
      <c r="C162" s="8" t="str">
        <f t="shared" si="4"/>
        <v/>
      </c>
      <c r="D162" s="8">
        <f t="shared" si="5"/>
        <v>2</v>
      </c>
    </row>
    <row r="163" spans="1:4">
      <c r="A163" s="11">
        <v>3</v>
      </c>
      <c r="B163" s="2" t="s">
        <v>67</v>
      </c>
      <c r="C163" s="8" t="str">
        <f t="shared" si="4"/>
        <v/>
      </c>
      <c r="D163" s="8">
        <f t="shared" si="5"/>
        <v>3</v>
      </c>
    </row>
    <row r="164" spans="1:4">
      <c r="A164" s="11">
        <v>2</v>
      </c>
      <c r="B164" s="2" t="s">
        <v>67</v>
      </c>
      <c r="C164" s="8" t="str">
        <f t="shared" si="4"/>
        <v/>
      </c>
      <c r="D164" s="8">
        <f t="shared" si="5"/>
        <v>2</v>
      </c>
    </row>
    <row r="165" spans="1:4">
      <c r="A165" s="11">
        <v>3</v>
      </c>
      <c r="B165" s="2" t="s">
        <v>67</v>
      </c>
      <c r="C165" s="8" t="str">
        <f t="shared" si="4"/>
        <v/>
      </c>
      <c r="D165" s="8">
        <f t="shared" si="5"/>
        <v>3</v>
      </c>
    </row>
    <row r="166" spans="1:4">
      <c r="A166" s="11">
        <v>4</v>
      </c>
      <c r="B166" s="2" t="s">
        <v>67</v>
      </c>
      <c r="C166" s="8" t="str">
        <f t="shared" si="4"/>
        <v/>
      </c>
      <c r="D166" s="8">
        <f t="shared" si="5"/>
        <v>4</v>
      </c>
    </row>
    <row r="167" spans="1:4">
      <c r="A167" s="11">
        <v>3</v>
      </c>
      <c r="B167" s="2" t="s">
        <v>67</v>
      </c>
      <c r="C167" s="8" t="str">
        <f t="shared" si="4"/>
        <v/>
      </c>
      <c r="D167" s="8">
        <f t="shared" si="5"/>
        <v>3</v>
      </c>
    </row>
    <row r="168" spans="1:4">
      <c r="A168" s="11">
        <v>3</v>
      </c>
      <c r="B168" s="2" t="s">
        <v>169</v>
      </c>
      <c r="C168" s="8">
        <f t="shared" si="4"/>
        <v>3</v>
      </c>
      <c r="D168" s="8" t="str">
        <f t="shared" si="5"/>
        <v/>
      </c>
    </row>
    <row r="169" spans="1:4">
      <c r="A169" s="11">
        <v>4</v>
      </c>
      <c r="B169" s="2" t="s">
        <v>169</v>
      </c>
      <c r="C169" s="8">
        <f t="shared" si="4"/>
        <v>4</v>
      </c>
      <c r="D169" s="8" t="str">
        <f t="shared" si="5"/>
        <v/>
      </c>
    </row>
    <row r="170" spans="1:4">
      <c r="A170" s="11">
        <v>3</v>
      </c>
      <c r="B170" s="2" t="s">
        <v>169</v>
      </c>
      <c r="C170" s="8">
        <f t="shared" si="4"/>
        <v>3</v>
      </c>
      <c r="D170" s="8" t="str">
        <f t="shared" si="5"/>
        <v/>
      </c>
    </row>
    <row r="171" spans="1:4">
      <c r="A171" s="11">
        <v>4</v>
      </c>
      <c r="B171" s="2" t="s">
        <v>67</v>
      </c>
      <c r="C171" s="8" t="str">
        <f t="shared" si="4"/>
        <v/>
      </c>
      <c r="D171" s="8">
        <f t="shared" si="5"/>
        <v>4</v>
      </c>
    </row>
    <row r="172" spans="1:4">
      <c r="A172" s="11">
        <v>1</v>
      </c>
      <c r="B172" s="2" t="s">
        <v>169</v>
      </c>
      <c r="C172" s="8">
        <f t="shared" si="4"/>
        <v>1</v>
      </c>
      <c r="D172" s="8" t="str">
        <f t="shared" si="5"/>
        <v/>
      </c>
    </row>
    <row r="173" spans="1:4">
      <c r="A173" s="11">
        <v>2</v>
      </c>
      <c r="B173" s="2" t="s">
        <v>169</v>
      </c>
      <c r="C173" s="8">
        <f t="shared" si="4"/>
        <v>2</v>
      </c>
      <c r="D173" s="8" t="str">
        <f t="shared" si="5"/>
        <v/>
      </c>
    </row>
    <row r="174" spans="1:4">
      <c r="A174" s="11">
        <v>4</v>
      </c>
      <c r="B174" s="2" t="s">
        <v>67</v>
      </c>
      <c r="C174" s="8" t="str">
        <f t="shared" si="4"/>
        <v/>
      </c>
      <c r="D174" s="8">
        <f t="shared" si="5"/>
        <v>4</v>
      </c>
    </row>
    <row r="175" spans="1:4">
      <c r="A175" s="11">
        <v>4</v>
      </c>
      <c r="B175" s="2" t="s">
        <v>169</v>
      </c>
      <c r="C175" s="8">
        <f t="shared" si="4"/>
        <v>4</v>
      </c>
      <c r="D175" s="8" t="str">
        <f t="shared" si="5"/>
        <v/>
      </c>
    </row>
    <row r="176" spans="1:4">
      <c r="A176" s="11">
        <v>3</v>
      </c>
      <c r="B176" s="2" t="s">
        <v>67</v>
      </c>
      <c r="C176" s="8" t="str">
        <f t="shared" si="4"/>
        <v/>
      </c>
      <c r="D176" s="8">
        <f t="shared" si="5"/>
        <v>3</v>
      </c>
    </row>
    <row r="177" spans="1:4">
      <c r="A177" s="11">
        <v>4</v>
      </c>
      <c r="B177" s="2" t="s">
        <v>169</v>
      </c>
      <c r="C177" s="8">
        <f t="shared" si="4"/>
        <v>4</v>
      </c>
      <c r="D177" s="8" t="str">
        <f t="shared" si="5"/>
        <v/>
      </c>
    </row>
    <row r="178" spans="1:4">
      <c r="A178" s="11">
        <v>3</v>
      </c>
      <c r="B178" s="2" t="s">
        <v>67</v>
      </c>
      <c r="C178" s="8" t="str">
        <f t="shared" si="4"/>
        <v/>
      </c>
      <c r="D178" s="8">
        <f t="shared" si="5"/>
        <v>3</v>
      </c>
    </row>
    <row r="179" spans="1:4">
      <c r="A179" s="11">
        <v>4</v>
      </c>
      <c r="B179" s="2" t="s">
        <v>169</v>
      </c>
      <c r="C179" s="8">
        <f t="shared" si="4"/>
        <v>4</v>
      </c>
      <c r="D179" s="8" t="str">
        <f t="shared" si="5"/>
        <v/>
      </c>
    </row>
    <row r="180" spans="1:4">
      <c r="A180" s="11">
        <v>4</v>
      </c>
      <c r="B180" s="2" t="s">
        <v>169</v>
      </c>
      <c r="C180" s="8">
        <f t="shared" si="4"/>
        <v>4</v>
      </c>
      <c r="D180" s="8" t="str">
        <f t="shared" si="5"/>
        <v/>
      </c>
    </row>
    <row r="181" spans="1:4">
      <c r="A181" s="11">
        <v>4</v>
      </c>
      <c r="B181" s="2" t="s">
        <v>169</v>
      </c>
      <c r="C181" s="8">
        <f t="shared" si="4"/>
        <v>4</v>
      </c>
      <c r="D181" s="8" t="str">
        <f t="shared" si="5"/>
        <v/>
      </c>
    </row>
    <row r="182" spans="1:4">
      <c r="A182" s="11">
        <v>4</v>
      </c>
      <c r="B182" s="2" t="s">
        <v>169</v>
      </c>
      <c r="C182" s="8">
        <f t="shared" si="4"/>
        <v>4</v>
      </c>
      <c r="D182" s="8" t="str">
        <f t="shared" si="5"/>
        <v/>
      </c>
    </row>
    <row r="183" spans="1:4">
      <c r="A183" s="11">
        <v>2</v>
      </c>
      <c r="B183" s="2" t="s">
        <v>67</v>
      </c>
      <c r="C183" s="8" t="str">
        <f t="shared" si="4"/>
        <v/>
      </c>
      <c r="D183" s="8">
        <f t="shared" si="5"/>
        <v>2</v>
      </c>
    </row>
    <row r="184" spans="1:4">
      <c r="A184" s="11">
        <v>4</v>
      </c>
      <c r="B184" s="2" t="s">
        <v>67</v>
      </c>
      <c r="C184" s="8" t="str">
        <f t="shared" si="4"/>
        <v/>
      </c>
      <c r="D184" s="8">
        <f t="shared" si="5"/>
        <v>4</v>
      </c>
    </row>
    <row r="185" spans="1:4">
      <c r="A185" s="11">
        <v>4</v>
      </c>
      <c r="B185" s="2" t="s">
        <v>169</v>
      </c>
      <c r="C185" s="8">
        <f t="shared" si="4"/>
        <v>4</v>
      </c>
      <c r="D185" s="8" t="str">
        <f t="shared" si="5"/>
        <v/>
      </c>
    </row>
    <row r="186" spans="1:4">
      <c r="A186" s="11">
        <v>3</v>
      </c>
      <c r="B186" s="2" t="s">
        <v>169</v>
      </c>
      <c r="C186" s="8">
        <f t="shared" si="4"/>
        <v>3</v>
      </c>
      <c r="D186" s="8" t="str">
        <f t="shared" si="5"/>
        <v/>
      </c>
    </row>
    <row r="187" spans="1:4">
      <c r="A187" s="11">
        <v>4</v>
      </c>
      <c r="B187" s="2" t="s">
        <v>169</v>
      </c>
      <c r="C187" s="8">
        <f t="shared" si="4"/>
        <v>4</v>
      </c>
      <c r="D187" s="8" t="str">
        <f t="shared" si="5"/>
        <v/>
      </c>
    </row>
    <row r="188" spans="1:4">
      <c r="A188" s="11">
        <v>1</v>
      </c>
      <c r="B188" s="2" t="s">
        <v>169</v>
      </c>
      <c r="C188" s="8">
        <f t="shared" si="4"/>
        <v>1</v>
      </c>
      <c r="D188" s="8" t="str">
        <f t="shared" si="5"/>
        <v/>
      </c>
    </row>
    <row r="189" spans="1:4">
      <c r="A189" s="11">
        <v>4</v>
      </c>
      <c r="B189" s="2" t="s">
        <v>67</v>
      </c>
      <c r="C189" s="8" t="str">
        <f t="shared" si="4"/>
        <v/>
      </c>
      <c r="D189" s="8">
        <f t="shared" si="5"/>
        <v>4</v>
      </c>
    </row>
    <row r="190" spans="1:4">
      <c r="A190" s="11">
        <v>4</v>
      </c>
      <c r="B190" s="2" t="s">
        <v>169</v>
      </c>
      <c r="C190" s="8">
        <f t="shared" si="4"/>
        <v>4</v>
      </c>
      <c r="D190" s="8" t="str">
        <f t="shared" si="5"/>
        <v/>
      </c>
    </row>
    <row r="191" spans="1:4">
      <c r="A191" s="11">
        <v>4</v>
      </c>
      <c r="B191" s="2" t="s">
        <v>67</v>
      </c>
      <c r="C191" s="8" t="str">
        <f t="shared" si="4"/>
        <v/>
      </c>
      <c r="D191" s="8">
        <f t="shared" si="5"/>
        <v>4</v>
      </c>
    </row>
    <row r="192" spans="1:4">
      <c r="A192" s="11">
        <v>4</v>
      </c>
      <c r="B192" s="2" t="s">
        <v>169</v>
      </c>
      <c r="C192" s="8">
        <f t="shared" si="4"/>
        <v>4</v>
      </c>
      <c r="D192" s="8" t="str">
        <f t="shared" si="5"/>
        <v/>
      </c>
    </row>
    <row r="193" spans="1:4">
      <c r="A193" s="11">
        <v>3</v>
      </c>
      <c r="B193" s="2" t="s">
        <v>67</v>
      </c>
      <c r="C193" s="8" t="str">
        <f t="shared" si="4"/>
        <v/>
      </c>
      <c r="D193" s="8">
        <f t="shared" si="5"/>
        <v>3</v>
      </c>
    </row>
    <row r="194" spans="1:4">
      <c r="A194" s="11">
        <v>3</v>
      </c>
      <c r="B194" s="2" t="s">
        <v>67</v>
      </c>
      <c r="C194" s="8" t="str">
        <f t="shared" si="4"/>
        <v/>
      </c>
      <c r="D194" s="8">
        <f t="shared" si="5"/>
        <v>3</v>
      </c>
    </row>
    <row r="195" spans="1:4">
      <c r="A195" s="11">
        <v>2</v>
      </c>
      <c r="B195" s="2" t="s">
        <v>169</v>
      </c>
      <c r="C195" s="8">
        <f t="shared" si="4"/>
        <v>2</v>
      </c>
      <c r="D195" s="8" t="str">
        <f t="shared" si="5"/>
        <v/>
      </c>
    </row>
    <row r="196" spans="1:4">
      <c r="A196" s="11">
        <v>3</v>
      </c>
      <c r="B196" s="2" t="s">
        <v>67</v>
      </c>
      <c r="C196" s="8" t="str">
        <f t="shared" si="4"/>
        <v/>
      </c>
      <c r="D196" s="8">
        <f t="shared" si="5"/>
        <v>3</v>
      </c>
    </row>
    <row r="197" spans="1:4">
      <c r="A197" s="11">
        <v>2</v>
      </c>
      <c r="B197" s="2" t="s">
        <v>67</v>
      </c>
      <c r="C197" s="8" t="str">
        <f t="shared" si="4"/>
        <v/>
      </c>
      <c r="D197" s="8">
        <f t="shared" si="5"/>
        <v>2</v>
      </c>
    </row>
    <row r="198" spans="1:4">
      <c r="A198" s="11">
        <v>3</v>
      </c>
      <c r="B198" s="2" t="s">
        <v>169</v>
      </c>
      <c r="C198" s="8">
        <f t="shared" si="4"/>
        <v>3</v>
      </c>
      <c r="D198" s="8" t="str">
        <f t="shared" si="5"/>
        <v/>
      </c>
    </row>
    <row r="199" spans="1:4">
      <c r="A199" s="11">
        <v>2</v>
      </c>
      <c r="B199" s="2" t="s">
        <v>67</v>
      </c>
      <c r="C199" s="8" t="str">
        <f t="shared" si="4"/>
        <v/>
      </c>
      <c r="D199" s="8">
        <f t="shared" si="5"/>
        <v>2</v>
      </c>
    </row>
    <row r="200" spans="1:4">
      <c r="A200" s="11">
        <v>3</v>
      </c>
      <c r="B200" s="2" t="s">
        <v>67</v>
      </c>
      <c r="C200" s="8" t="str">
        <f t="shared" si="4"/>
        <v/>
      </c>
      <c r="D200" s="8">
        <f t="shared" si="5"/>
        <v>3</v>
      </c>
    </row>
    <row r="201" spans="1:4">
      <c r="A201" s="11">
        <v>3</v>
      </c>
      <c r="B201" s="2" t="s">
        <v>67</v>
      </c>
      <c r="C201" s="8" t="str">
        <f t="shared" si="4"/>
        <v/>
      </c>
      <c r="D201" s="8">
        <f t="shared" si="5"/>
        <v>3</v>
      </c>
    </row>
    <row r="202" spans="1:4">
      <c r="A202" s="11">
        <v>3</v>
      </c>
      <c r="B202" s="2" t="s">
        <v>169</v>
      </c>
      <c r="C202" s="8">
        <f t="shared" si="4"/>
        <v>3</v>
      </c>
      <c r="D202" s="8" t="str">
        <f t="shared" si="5"/>
        <v/>
      </c>
    </row>
    <row r="203" spans="1:4">
      <c r="A203" s="11">
        <v>2</v>
      </c>
      <c r="B203" s="2" t="s">
        <v>67</v>
      </c>
      <c r="C203" s="8" t="str">
        <f t="shared" si="4"/>
        <v/>
      </c>
      <c r="D203" s="8">
        <f t="shared" si="5"/>
        <v>2</v>
      </c>
    </row>
    <row r="204" spans="1:4">
      <c r="A204" s="11">
        <v>3</v>
      </c>
      <c r="B204" s="2" t="s">
        <v>169</v>
      </c>
      <c r="C204" s="8">
        <f t="shared" si="4"/>
        <v>3</v>
      </c>
      <c r="D204" s="8" t="str">
        <f t="shared" si="5"/>
        <v/>
      </c>
    </row>
    <row r="205" spans="1:4">
      <c r="A205" s="11">
        <v>4</v>
      </c>
      <c r="B205" s="2" t="s">
        <v>169</v>
      </c>
      <c r="C205" s="8">
        <f t="shared" ref="C205:C268" si="6">IF(B205="YES",A205,"")</f>
        <v>4</v>
      </c>
      <c r="D205" s="8" t="str">
        <f t="shared" ref="D205:D268" si="7">IF(B205="NO",A205,"")</f>
        <v/>
      </c>
    </row>
    <row r="206" spans="1:4">
      <c r="A206" s="11">
        <v>4</v>
      </c>
      <c r="B206" s="2" t="s">
        <v>169</v>
      </c>
      <c r="C206" s="8">
        <f t="shared" si="6"/>
        <v>4</v>
      </c>
      <c r="D206" s="8" t="str">
        <f t="shared" si="7"/>
        <v/>
      </c>
    </row>
    <row r="207" spans="1:4">
      <c r="A207" s="11">
        <v>4</v>
      </c>
      <c r="B207" s="2" t="s">
        <v>67</v>
      </c>
      <c r="C207" s="8" t="str">
        <f t="shared" si="6"/>
        <v/>
      </c>
      <c r="D207" s="8">
        <f t="shared" si="7"/>
        <v>4</v>
      </c>
    </row>
    <row r="208" spans="1:4">
      <c r="A208" s="11">
        <v>3</v>
      </c>
      <c r="B208" s="2" t="s">
        <v>67</v>
      </c>
      <c r="C208" s="8" t="str">
        <f t="shared" si="6"/>
        <v/>
      </c>
      <c r="D208" s="8">
        <f t="shared" si="7"/>
        <v>3</v>
      </c>
    </row>
    <row r="209" spans="1:4">
      <c r="A209" s="11">
        <v>2</v>
      </c>
      <c r="B209" s="2" t="s">
        <v>67</v>
      </c>
      <c r="C209" s="8" t="str">
        <f t="shared" si="6"/>
        <v/>
      </c>
      <c r="D209" s="8">
        <f t="shared" si="7"/>
        <v>2</v>
      </c>
    </row>
    <row r="210" spans="1:4">
      <c r="A210" s="11">
        <v>2</v>
      </c>
      <c r="B210" s="2" t="s">
        <v>169</v>
      </c>
      <c r="C210" s="8">
        <f t="shared" si="6"/>
        <v>2</v>
      </c>
      <c r="D210" s="8" t="str">
        <f t="shared" si="7"/>
        <v/>
      </c>
    </row>
    <row r="211" spans="1:4">
      <c r="A211" s="11">
        <v>4</v>
      </c>
      <c r="B211" s="2" t="s">
        <v>67</v>
      </c>
      <c r="C211" s="8" t="str">
        <f t="shared" si="6"/>
        <v/>
      </c>
      <c r="D211" s="8">
        <f t="shared" si="7"/>
        <v>4</v>
      </c>
    </row>
    <row r="212" spans="1:4">
      <c r="A212" s="11">
        <v>4</v>
      </c>
      <c r="B212" s="2" t="s">
        <v>169</v>
      </c>
      <c r="C212" s="8">
        <f t="shared" si="6"/>
        <v>4</v>
      </c>
      <c r="D212" s="8" t="str">
        <f t="shared" si="7"/>
        <v/>
      </c>
    </row>
    <row r="213" spans="1:4">
      <c r="A213" s="11">
        <v>1</v>
      </c>
      <c r="B213" s="2" t="s">
        <v>67</v>
      </c>
      <c r="C213" s="8" t="str">
        <f t="shared" si="6"/>
        <v/>
      </c>
      <c r="D213" s="8">
        <f t="shared" si="7"/>
        <v>1</v>
      </c>
    </row>
    <row r="214" spans="1:4">
      <c r="A214" s="11">
        <v>3</v>
      </c>
      <c r="B214" s="2" t="s">
        <v>169</v>
      </c>
      <c r="C214" s="8">
        <f t="shared" si="6"/>
        <v>3</v>
      </c>
      <c r="D214" s="8" t="str">
        <f t="shared" si="7"/>
        <v/>
      </c>
    </row>
    <row r="215" spans="1:4">
      <c r="A215" s="11">
        <v>3</v>
      </c>
      <c r="B215" s="2" t="s">
        <v>169</v>
      </c>
      <c r="C215" s="8">
        <f t="shared" si="6"/>
        <v>3</v>
      </c>
      <c r="D215" s="8" t="str">
        <f t="shared" si="7"/>
        <v/>
      </c>
    </row>
    <row r="216" spans="1:4">
      <c r="A216" s="11">
        <v>3</v>
      </c>
      <c r="B216" s="2" t="s">
        <v>67</v>
      </c>
      <c r="C216" s="8" t="str">
        <f t="shared" si="6"/>
        <v/>
      </c>
      <c r="D216" s="8">
        <f t="shared" si="7"/>
        <v>3</v>
      </c>
    </row>
    <row r="217" spans="1:4">
      <c r="A217" s="11">
        <v>4</v>
      </c>
      <c r="B217" s="2" t="s">
        <v>169</v>
      </c>
      <c r="C217" s="8">
        <f t="shared" si="6"/>
        <v>4</v>
      </c>
      <c r="D217" s="8" t="str">
        <f t="shared" si="7"/>
        <v/>
      </c>
    </row>
    <row r="218" spans="1:4">
      <c r="A218" s="11">
        <v>3</v>
      </c>
      <c r="B218" s="2" t="s">
        <v>169</v>
      </c>
      <c r="C218" s="8">
        <f t="shared" si="6"/>
        <v>3</v>
      </c>
      <c r="D218" s="8" t="str">
        <f t="shared" si="7"/>
        <v/>
      </c>
    </row>
    <row r="219" spans="1:4">
      <c r="A219" s="11">
        <v>4</v>
      </c>
      <c r="B219" s="2" t="s">
        <v>169</v>
      </c>
      <c r="C219" s="8">
        <f t="shared" si="6"/>
        <v>4</v>
      </c>
      <c r="D219" s="8" t="str">
        <f t="shared" si="7"/>
        <v/>
      </c>
    </row>
    <row r="220" spans="1:4">
      <c r="A220" s="11">
        <v>2</v>
      </c>
      <c r="B220" s="2" t="s">
        <v>67</v>
      </c>
      <c r="C220" s="8" t="str">
        <f t="shared" si="6"/>
        <v/>
      </c>
      <c r="D220" s="8">
        <f t="shared" si="7"/>
        <v>2</v>
      </c>
    </row>
    <row r="221" spans="1:4">
      <c r="A221" s="11">
        <v>3</v>
      </c>
      <c r="B221" s="2" t="s">
        <v>67</v>
      </c>
      <c r="C221" s="8" t="str">
        <f t="shared" si="6"/>
        <v/>
      </c>
      <c r="D221" s="8">
        <f t="shared" si="7"/>
        <v>3</v>
      </c>
    </row>
    <row r="222" spans="1:4">
      <c r="A222" s="11">
        <v>3</v>
      </c>
      <c r="B222" s="2" t="s">
        <v>67</v>
      </c>
      <c r="C222" s="8" t="str">
        <f t="shared" si="6"/>
        <v/>
      </c>
      <c r="D222" s="8">
        <f t="shared" si="7"/>
        <v>3</v>
      </c>
    </row>
    <row r="223" spans="1:4">
      <c r="A223" s="11">
        <v>4</v>
      </c>
      <c r="B223" s="2" t="s">
        <v>169</v>
      </c>
      <c r="C223" s="8">
        <f t="shared" si="6"/>
        <v>4</v>
      </c>
      <c r="D223" s="8" t="str">
        <f t="shared" si="7"/>
        <v/>
      </c>
    </row>
    <row r="224" spans="1:4">
      <c r="A224" s="11">
        <v>3</v>
      </c>
      <c r="B224" s="2" t="s">
        <v>67</v>
      </c>
      <c r="C224" s="8" t="str">
        <f t="shared" si="6"/>
        <v/>
      </c>
      <c r="D224" s="8">
        <f t="shared" si="7"/>
        <v>3</v>
      </c>
    </row>
    <row r="225" spans="1:4">
      <c r="A225" s="11">
        <v>4</v>
      </c>
      <c r="B225" s="2" t="s">
        <v>169</v>
      </c>
      <c r="C225" s="8">
        <f t="shared" si="6"/>
        <v>4</v>
      </c>
      <c r="D225" s="8" t="str">
        <f t="shared" si="7"/>
        <v/>
      </c>
    </row>
    <row r="226" spans="1:4">
      <c r="A226" s="11">
        <v>2</v>
      </c>
      <c r="B226" s="2" t="s">
        <v>67</v>
      </c>
      <c r="C226" s="8" t="str">
        <f t="shared" si="6"/>
        <v/>
      </c>
      <c r="D226" s="8">
        <f t="shared" si="7"/>
        <v>2</v>
      </c>
    </row>
    <row r="227" spans="1:4">
      <c r="A227" s="11">
        <v>1</v>
      </c>
      <c r="B227" s="2" t="s">
        <v>67</v>
      </c>
      <c r="C227" s="8" t="str">
        <f t="shared" si="6"/>
        <v/>
      </c>
      <c r="D227" s="8">
        <f t="shared" si="7"/>
        <v>1</v>
      </c>
    </row>
    <row r="228" spans="1:4">
      <c r="A228" s="11">
        <v>1</v>
      </c>
      <c r="B228" s="2" t="s">
        <v>67</v>
      </c>
      <c r="C228" s="8" t="str">
        <f t="shared" si="6"/>
        <v/>
      </c>
      <c r="D228" s="8">
        <f t="shared" si="7"/>
        <v>1</v>
      </c>
    </row>
    <row r="229" spans="1:4">
      <c r="A229" s="11">
        <v>3</v>
      </c>
      <c r="B229" s="2" t="s">
        <v>67</v>
      </c>
      <c r="C229" s="8" t="str">
        <f t="shared" si="6"/>
        <v/>
      </c>
      <c r="D229" s="8">
        <f t="shared" si="7"/>
        <v>3</v>
      </c>
    </row>
    <row r="230" spans="1:4">
      <c r="A230" s="11">
        <v>4</v>
      </c>
      <c r="B230" s="2" t="s">
        <v>169</v>
      </c>
      <c r="C230" s="8">
        <f t="shared" si="6"/>
        <v>4</v>
      </c>
      <c r="D230" s="8" t="str">
        <f t="shared" si="7"/>
        <v/>
      </c>
    </row>
    <row r="231" spans="1:4">
      <c r="A231" s="11">
        <v>3</v>
      </c>
      <c r="B231" s="2" t="s">
        <v>169</v>
      </c>
      <c r="C231" s="8">
        <f t="shared" si="6"/>
        <v>3</v>
      </c>
      <c r="D231" s="8" t="str">
        <f t="shared" si="7"/>
        <v/>
      </c>
    </row>
    <row r="232" spans="1:4">
      <c r="A232" s="11">
        <v>3</v>
      </c>
      <c r="B232" s="2" t="s">
        <v>67</v>
      </c>
      <c r="C232" s="8" t="str">
        <f t="shared" si="6"/>
        <v/>
      </c>
      <c r="D232" s="8">
        <f t="shared" si="7"/>
        <v>3</v>
      </c>
    </row>
    <row r="233" spans="1:4">
      <c r="A233" s="11">
        <v>4</v>
      </c>
      <c r="B233" s="2" t="s">
        <v>169</v>
      </c>
      <c r="C233" s="8">
        <f t="shared" si="6"/>
        <v>4</v>
      </c>
      <c r="D233" s="8" t="str">
        <f t="shared" si="7"/>
        <v/>
      </c>
    </row>
    <row r="234" spans="1:4">
      <c r="A234" s="11">
        <v>4</v>
      </c>
      <c r="B234" s="2" t="s">
        <v>169</v>
      </c>
      <c r="C234" s="8">
        <f t="shared" si="6"/>
        <v>4</v>
      </c>
      <c r="D234" s="8" t="str">
        <f t="shared" si="7"/>
        <v/>
      </c>
    </row>
    <row r="235" spans="1:4">
      <c r="A235" s="11">
        <v>3</v>
      </c>
      <c r="B235" s="2" t="s">
        <v>67</v>
      </c>
      <c r="C235" s="8" t="str">
        <f t="shared" si="6"/>
        <v/>
      </c>
      <c r="D235" s="8">
        <f t="shared" si="7"/>
        <v>3</v>
      </c>
    </row>
    <row r="236" spans="1:4">
      <c r="A236" s="11">
        <v>3</v>
      </c>
      <c r="B236" s="2" t="s">
        <v>67</v>
      </c>
      <c r="C236" s="8" t="str">
        <f t="shared" si="6"/>
        <v/>
      </c>
      <c r="D236" s="8">
        <f t="shared" si="7"/>
        <v>3</v>
      </c>
    </row>
    <row r="237" spans="1:4">
      <c r="A237" s="11">
        <v>1</v>
      </c>
      <c r="B237" s="2" t="s">
        <v>67</v>
      </c>
      <c r="C237" s="8" t="str">
        <f t="shared" si="6"/>
        <v/>
      </c>
      <c r="D237" s="8">
        <f t="shared" si="7"/>
        <v>1</v>
      </c>
    </row>
    <row r="238" spans="1:4">
      <c r="A238" s="11">
        <v>4</v>
      </c>
      <c r="B238" s="2" t="s">
        <v>169</v>
      </c>
      <c r="C238" s="8">
        <f t="shared" si="6"/>
        <v>4</v>
      </c>
      <c r="D238" s="8" t="str">
        <f t="shared" si="7"/>
        <v/>
      </c>
    </row>
    <row r="239" spans="1:4">
      <c r="A239" s="11">
        <v>3</v>
      </c>
      <c r="B239" s="2" t="s">
        <v>67</v>
      </c>
      <c r="C239" s="8" t="str">
        <f t="shared" si="6"/>
        <v/>
      </c>
      <c r="D239" s="8">
        <f t="shared" si="7"/>
        <v>3</v>
      </c>
    </row>
    <row r="240" spans="1:4">
      <c r="A240" s="11">
        <v>2</v>
      </c>
      <c r="B240" s="2" t="s">
        <v>67</v>
      </c>
      <c r="C240" s="8" t="str">
        <f t="shared" si="6"/>
        <v/>
      </c>
      <c r="D240" s="8">
        <f t="shared" si="7"/>
        <v>2</v>
      </c>
    </row>
    <row r="241" spans="1:4">
      <c r="A241" s="11">
        <v>4</v>
      </c>
      <c r="B241" s="2" t="s">
        <v>67</v>
      </c>
      <c r="C241" s="8" t="str">
        <f t="shared" si="6"/>
        <v/>
      </c>
      <c r="D241" s="8">
        <f t="shared" si="7"/>
        <v>4</v>
      </c>
    </row>
    <row r="242" spans="1:4">
      <c r="A242" s="11">
        <v>4</v>
      </c>
      <c r="B242" s="2" t="s">
        <v>67</v>
      </c>
      <c r="C242" s="8" t="str">
        <f t="shared" si="6"/>
        <v/>
      </c>
      <c r="D242" s="8">
        <f t="shared" si="7"/>
        <v>4</v>
      </c>
    </row>
    <row r="243" spans="1:4">
      <c r="A243" s="11">
        <v>2</v>
      </c>
      <c r="B243" s="2" t="s">
        <v>169</v>
      </c>
      <c r="C243" s="8">
        <f t="shared" si="6"/>
        <v>2</v>
      </c>
      <c r="D243" s="8" t="str">
        <f t="shared" si="7"/>
        <v/>
      </c>
    </row>
    <row r="244" spans="1:4">
      <c r="A244" s="11">
        <v>4</v>
      </c>
      <c r="B244" s="2" t="s">
        <v>169</v>
      </c>
      <c r="C244" s="8">
        <f t="shared" si="6"/>
        <v>4</v>
      </c>
      <c r="D244" s="8" t="str">
        <f t="shared" si="7"/>
        <v/>
      </c>
    </row>
    <row r="245" spans="1:4">
      <c r="A245" s="11">
        <v>2</v>
      </c>
      <c r="B245" s="2" t="s">
        <v>169</v>
      </c>
      <c r="C245" s="8">
        <f t="shared" si="6"/>
        <v>2</v>
      </c>
      <c r="D245" s="8" t="str">
        <f t="shared" si="7"/>
        <v/>
      </c>
    </row>
    <row r="246" spans="1:4">
      <c r="A246" s="11">
        <v>4</v>
      </c>
      <c r="B246" s="2" t="s">
        <v>169</v>
      </c>
      <c r="C246" s="8">
        <f t="shared" si="6"/>
        <v>4</v>
      </c>
      <c r="D246" s="8" t="str">
        <f t="shared" si="7"/>
        <v/>
      </c>
    </row>
    <row r="247" spans="1:4">
      <c r="A247" s="11">
        <v>2</v>
      </c>
      <c r="B247" s="2" t="s">
        <v>67</v>
      </c>
      <c r="C247" s="8" t="str">
        <f t="shared" si="6"/>
        <v/>
      </c>
      <c r="D247" s="8">
        <f t="shared" si="7"/>
        <v>2</v>
      </c>
    </row>
    <row r="248" spans="1:4">
      <c r="A248" s="11">
        <v>3</v>
      </c>
      <c r="B248" s="2" t="s">
        <v>169</v>
      </c>
      <c r="C248" s="8">
        <f t="shared" si="6"/>
        <v>3</v>
      </c>
      <c r="D248" s="8" t="str">
        <f t="shared" si="7"/>
        <v/>
      </c>
    </row>
    <row r="249" spans="1:4">
      <c r="A249" s="11">
        <v>3</v>
      </c>
      <c r="B249" s="2" t="s">
        <v>67</v>
      </c>
      <c r="C249" s="8" t="str">
        <f t="shared" si="6"/>
        <v/>
      </c>
      <c r="D249" s="8">
        <f t="shared" si="7"/>
        <v>3</v>
      </c>
    </row>
    <row r="250" spans="1:4">
      <c r="A250" s="11">
        <v>4</v>
      </c>
      <c r="B250" s="2" t="s">
        <v>169</v>
      </c>
      <c r="C250" s="8">
        <f t="shared" si="6"/>
        <v>4</v>
      </c>
      <c r="D250" s="8" t="str">
        <f t="shared" si="7"/>
        <v/>
      </c>
    </row>
    <row r="251" spans="1:4">
      <c r="A251" s="11">
        <v>4</v>
      </c>
      <c r="B251" s="2" t="s">
        <v>169</v>
      </c>
      <c r="C251" s="8">
        <f t="shared" si="6"/>
        <v>4</v>
      </c>
      <c r="D251" s="8" t="str">
        <f t="shared" si="7"/>
        <v/>
      </c>
    </row>
    <row r="252" spans="1:4">
      <c r="A252" s="11">
        <v>2</v>
      </c>
      <c r="B252" s="2" t="s">
        <v>67</v>
      </c>
      <c r="C252" s="8" t="str">
        <f t="shared" si="6"/>
        <v/>
      </c>
      <c r="D252" s="8">
        <f t="shared" si="7"/>
        <v>2</v>
      </c>
    </row>
    <row r="253" spans="1:4">
      <c r="A253" s="11">
        <v>2</v>
      </c>
      <c r="B253" s="2" t="s">
        <v>169</v>
      </c>
      <c r="C253" s="8">
        <f t="shared" si="6"/>
        <v>2</v>
      </c>
      <c r="D253" s="8" t="str">
        <f t="shared" si="7"/>
        <v/>
      </c>
    </row>
    <row r="254" spans="1:4">
      <c r="A254" s="11">
        <v>3</v>
      </c>
      <c r="B254" s="2" t="s">
        <v>169</v>
      </c>
      <c r="C254" s="8">
        <f t="shared" si="6"/>
        <v>3</v>
      </c>
      <c r="D254" s="8" t="str">
        <f t="shared" si="7"/>
        <v/>
      </c>
    </row>
    <row r="255" spans="1:4">
      <c r="A255" s="11">
        <v>3</v>
      </c>
      <c r="B255" s="2" t="s">
        <v>67</v>
      </c>
      <c r="C255" s="8" t="str">
        <f t="shared" si="6"/>
        <v/>
      </c>
      <c r="D255" s="8">
        <f t="shared" si="7"/>
        <v>3</v>
      </c>
    </row>
    <row r="256" spans="1:4">
      <c r="A256" s="11">
        <v>4</v>
      </c>
      <c r="B256" s="2" t="s">
        <v>67</v>
      </c>
      <c r="C256" s="8" t="str">
        <f t="shared" si="6"/>
        <v/>
      </c>
      <c r="D256" s="8">
        <f t="shared" si="7"/>
        <v>4</v>
      </c>
    </row>
    <row r="257" spans="1:4">
      <c r="A257" s="11">
        <v>2</v>
      </c>
      <c r="B257" s="2" t="s">
        <v>67</v>
      </c>
      <c r="C257" s="8" t="str">
        <f t="shared" si="6"/>
        <v/>
      </c>
      <c r="D257" s="8">
        <f t="shared" si="7"/>
        <v>2</v>
      </c>
    </row>
    <row r="258" spans="1:4">
      <c r="A258" s="11">
        <v>1</v>
      </c>
      <c r="B258" s="2" t="s">
        <v>169</v>
      </c>
      <c r="C258" s="8">
        <f t="shared" si="6"/>
        <v>1</v>
      </c>
      <c r="D258" s="8" t="str">
        <f t="shared" si="7"/>
        <v/>
      </c>
    </row>
    <row r="259" spans="1:4">
      <c r="A259" s="11">
        <v>3</v>
      </c>
      <c r="B259" s="2" t="s">
        <v>169</v>
      </c>
      <c r="C259" s="8">
        <f t="shared" si="6"/>
        <v>3</v>
      </c>
      <c r="D259" s="8" t="str">
        <f t="shared" si="7"/>
        <v/>
      </c>
    </row>
    <row r="260" spans="1:4">
      <c r="A260" s="11">
        <v>2</v>
      </c>
      <c r="B260" s="2" t="s">
        <v>67</v>
      </c>
      <c r="C260" s="8" t="str">
        <f t="shared" si="6"/>
        <v/>
      </c>
      <c r="D260" s="8">
        <f t="shared" si="7"/>
        <v>2</v>
      </c>
    </row>
    <row r="261" spans="1:4">
      <c r="A261" s="11">
        <v>4</v>
      </c>
      <c r="B261" s="2" t="s">
        <v>169</v>
      </c>
      <c r="C261" s="8">
        <f t="shared" si="6"/>
        <v>4</v>
      </c>
      <c r="D261" s="8" t="str">
        <f t="shared" si="7"/>
        <v/>
      </c>
    </row>
    <row r="262" spans="1:4">
      <c r="A262" s="11">
        <v>2</v>
      </c>
      <c r="B262" s="2" t="s">
        <v>67</v>
      </c>
      <c r="C262" s="8" t="str">
        <f t="shared" si="6"/>
        <v/>
      </c>
      <c r="D262" s="8">
        <f t="shared" si="7"/>
        <v>2</v>
      </c>
    </row>
    <row r="263" spans="1:4">
      <c r="A263" s="11">
        <v>4</v>
      </c>
      <c r="B263" s="2" t="s">
        <v>169</v>
      </c>
      <c r="C263" s="8">
        <f t="shared" si="6"/>
        <v>4</v>
      </c>
      <c r="D263" s="8" t="str">
        <f t="shared" si="7"/>
        <v/>
      </c>
    </row>
    <row r="264" spans="1:4">
      <c r="A264" s="11">
        <v>3</v>
      </c>
      <c r="B264" s="2" t="s">
        <v>169</v>
      </c>
      <c r="C264" s="8">
        <f t="shared" si="6"/>
        <v>3</v>
      </c>
      <c r="D264" s="8" t="str">
        <f t="shared" si="7"/>
        <v/>
      </c>
    </row>
    <row r="265" spans="1:4">
      <c r="A265" s="11">
        <v>3</v>
      </c>
      <c r="B265" s="2" t="s">
        <v>169</v>
      </c>
      <c r="C265" s="8">
        <f t="shared" si="6"/>
        <v>3</v>
      </c>
      <c r="D265" s="8" t="str">
        <f t="shared" si="7"/>
        <v/>
      </c>
    </row>
    <row r="266" spans="1:4">
      <c r="A266" s="11">
        <v>1</v>
      </c>
      <c r="B266" s="2" t="s">
        <v>67</v>
      </c>
      <c r="C266" s="8" t="str">
        <f t="shared" si="6"/>
        <v/>
      </c>
      <c r="D266" s="8">
        <f t="shared" si="7"/>
        <v>1</v>
      </c>
    </row>
    <row r="267" spans="1:4">
      <c r="A267" s="11">
        <v>3</v>
      </c>
      <c r="B267" s="2" t="s">
        <v>67</v>
      </c>
      <c r="C267" s="8" t="str">
        <f t="shared" si="6"/>
        <v/>
      </c>
      <c r="D267" s="8">
        <f t="shared" si="7"/>
        <v>3</v>
      </c>
    </row>
    <row r="268" spans="1:4">
      <c r="A268" s="11">
        <v>4</v>
      </c>
      <c r="B268" s="2" t="s">
        <v>169</v>
      </c>
      <c r="C268" s="8">
        <f t="shared" si="6"/>
        <v>4</v>
      </c>
      <c r="D268" s="8" t="str">
        <f t="shared" si="7"/>
        <v/>
      </c>
    </row>
    <row r="269" spans="1:4">
      <c r="A269" s="11">
        <v>3</v>
      </c>
      <c r="B269" s="2" t="s">
        <v>169</v>
      </c>
      <c r="C269" s="8">
        <f t="shared" ref="C269:C311" si="8">IF(B269="YES",A269,"")</f>
        <v>3</v>
      </c>
      <c r="D269" s="8" t="str">
        <f t="shared" ref="D269:D311" si="9">IF(B269="NO",A269,"")</f>
        <v/>
      </c>
    </row>
    <row r="270" spans="1:4">
      <c r="A270" s="11">
        <v>2</v>
      </c>
      <c r="B270" s="2" t="s">
        <v>169</v>
      </c>
      <c r="C270" s="8">
        <f t="shared" si="8"/>
        <v>2</v>
      </c>
      <c r="D270" s="8" t="str">
        <f t="shared" si="9"/>
        <v/>
      </c>
    </row>
    <row r="271" spans="1:4">
      <c r="A271" s="11">
        <v>4</v>
      </c>
      <c r="B271" s="2" t="s">
        <v>169</v>
      </c>
      <c r="C271" s="8">
        <f t="shared" si="8"/>
        <v>4</v>
      </c>
      <c r="D271" s="8" t="str">
        <f t="shared" si="9"/>
        <v/>
      </c>
    </row>
    <row r="272" spans="1:4">
      <c r="A272" s="11">
        <v>4</v>
      </c>
      <c r="B272" s="2" t="s">
        <v>169</v>
      </c>
      <c r="C272" s="8">
        <f t="shared" si="8"/>
        <v>4</v>
      </c>
      <c r="D272" s="8" t="str">
        <f t="shared" si="9"/>
        <v/>
      </c>
    </row>
    <row r="273" spans="1:4">
      <c r="A273" s="11">
        <v>3</v>
      </c>
      <c r="B273" s="2" t="s">
        <v>169</v>
      </c>
      <c r="C273" s="8">
        <f t="shared" si="8"/>
        <v>3</v>
      </c>
      <c r="D273" s="8" t="str">
        <f t="shared" si="9"/>
        <v/>
      </c>
    </row>
    <row r="274" spans="1:4">
      <c r="A274" s="11">
        <v>4</v>
      </c>
      <c r="B274" s="2" t="s">
        <v>169</v>
      </c>
      <c r="C274" s="8">
        <f t="shared" si="8"/>
        <v>4</v>
      </c>
      <c r="D274" s="8" t="str">
        <f t="shared" si="9"/>
        <v/>
      </c>
    </row>
    <row r="275" spans="1:4">
      <c r="A275" s="11">
        <v>3</v>
      </c>
      <c r="B275" s="2" t="s">
        <v>67</v>
      </c>
      <c r="C275" s="8" t="str">
        <f t="shared" si="8"/>
        <v/>
      </c>
      <c r="D275" s="8">
        <f t="shared" si="9"/>
        <v>3</v>
      </c>
    </row>
    <row r="276" spans="1:4">
      <c r="A276" s="11">
        <v>3</v>
      </c>
      <c r="B276" s="2" t="s">
        <v>169</v>
      </c>
      <c r="C276" s="8">
        <f t="shared" si="8"/>
        <v>3</v>
      </c>
      <c r="D276" s="8" t="str">
        <f t="shared" si="9"/>
        <v/>
      </c>
    </row>
    <row r="277" spans="1:4">
      <c r="A277" s="11">
        <v>4</v>
      </c>
      <c r="B277" s="2" t="s">
        <v>169</v>
      </c>
      <c r="C277" s="8">
        <f t="shared" si="8"/>
        <v>4</v>
      </c>
      <c r="D277" s="8" t="str">
        <f t="shared" si="9"/>
        <v/>
      </c>
    </row>
    <row r="278" spans="1:4">
      <c r="A278" s="11">
        <v>3</v>
      </c>
      <c r="B278" s="2" t="s">
        <v>169</v>
      </c>
      <c r="C278" s="8">
        <f t="shared" si="8"/>
        <v>3</v>
      </c>
      <c r="D278" s="8" t="str">
        <f t="shared" si="9"/>
        <v/>
      </c>
    </row>
    <row r="279" spans="1:4">
      <c r="A279" s="11">
        <v>3</v>
      </c>
      <c r="B279" s="2" t="s">
        <v>169</v>
      </c>
      <c r="C279" s="8">
        <f t="shared" si="8"/>
        <v>3</v>
      </c>
      <c r="D279" s="8" t="str">
        <f t="shared" si="9"/>
        <v/>
      </c>
    </row>
    <row r="280" spans="1:4">
      <c r="A280" s="11">
        <v>4</v>
      </c>
      <c r="B280" s="2" t="s">
        <v>169</v>
      </c>
      <c r="C280" s="8">
        <f t="shared" si="8"/>
        <v>4</v>
      </c>
      <c r="D280" s="8" t="str">
        <f t="shared" si="9"/>
        <v/>
      </c>
    </row>
    <row r="281" spans="1:4">
      <c r="A281" s="11">
        <v>4</v>
      </c>
      <c r="B281" s="2" t="s">
        <v>169</v>
      </c>
      <c r="C281" s="8">
        <f t="shared" si="8"/>
        <v>4</v>
      </c>
      <c r="D281" s="8" t="str">
        <f t="shared" si="9"/>
        <v/>
      </c>
    </row>
    <row r="282" spans="1:4">
      <c r="A282" s="11">
        <v>2</v>
      </c>
      <c r="B282" s="2" t="s">
        <v>67</v>
      </c>
      <c r="C282" s="8" t="str">
        <f t="shared" si="8"/>
        <v/>
      </c>
      <c r="D282" s="8">
        <f t="shared" si="9"/>
        <v>2</v>
      </c>
    </row>
    <row r="283" spans="1:4">
      <c r="A283" s="11">
        <v>3</v>
      </c>
      <c r="B283" s="2" t="s">
        <v>67</v>
      </c>
      <c r="C283" s="8" t="str">
        <f t="shared" si="8"/>
        <v/>
      </c>
      <c r="D283" s="8">
        <f t="shared" si="9"/>
        <v>3</v>
      </c>
    </row>
    <row r="284" spans="1:4">
      <c r="A284" s="11">
        <v>3</v>
      </c>
      <c r="B284" s="2" t="s">
        <v>67</v>
      </c>
      <c r="C284" s="8" t="str">
        <f t="shared" si="8"/>
        <v/>
      </c>
      <c r="D284" s="8">
        <f t="shared" si="9"/>
        <v>3</v>
      </c>
    </row>
    <row r="285" spans="1:4">
      <c r="A285" s="11">
        <v>3</v>
      </c>
      <c r="B285" s="2" t="s">
        <v>67</v>
      </c>
      <c r="C285" s="8" t="str">
        <f t="shared" si="8"/>
        <v/>
      </c>
      <c r="D285" s="8">
        <f t="shared" si="9"/>
        <v>3</v>
      </c>
    </row>
    <row r="286" spans="1:4">
      <c r="A286" s="11">
        <v>4</v>
      </c>
      <c r="B286" s="2" t="s">
        <v>169</v>
      </c>
      <c r="C286" s="8">
        <f t="shared" si="8"/>
        <v>4</v>
      </c>
      <c r="D286" s="8" t="str">
        <f t="shared" si="9"/>
        <v/>
      </c>
    </row>
    <row r="287" spans="1:4">
      <c r="A287" s="11">
        <v>4</v>
      </c>
      <c r="B287" s="2" t="s">
        <v>169</v>
      </c>
      <c r="C287" s="8">
        <f t="shared" si="8"/>
        <v>4</v>
      </c>
      <c r="D287" s="8" t="str">
        <f t="shared" si="9"/>
        <v/>
      </c>
    </row>
    <row r="288" spans="1:4">
      <c r="A288" s="11">
        <v>3</v>
      </c>
      <c r="B288" s="2" t="s">
        <v>169</v>
      </c>
      <c r="C288" s="8">
        <f t="shared" si="8"/>
        <v>3</v>
      </c>
      <c r="D288" s="8" t="str">
        <f t="shared" si="9"/>
        <v/>
      </c>
    </row>
    <row r="289" spans="1:4">
      <c r="A289" s="11">
        <v>3</v>
      </c>
      <c r="B289" s="2" t="s">
        <v>169</v>
      </c>
      <c r="C289" s="8">
        <f t="shared" si="8"/>
        <v>3</v>
      </c>
      <c r="D289" s="8" t="str">
        <f t="shared" si="9"/>
        <v/>
      </c>
    </row>
    <row r="290" spans="1:4">
      <c r="A290" s="11">
        <v>4</v>
      </c>
      <c r="B290" s="2" t="s">
        <v>169</v>
      </c>
      <c r="C290" s="8">
        <f t="shared" si="8"/>
        <v>4</v>
      </c>
      <c r="D290" s="8" t="str">
        <f t="shared" si="9"/>
        <v/>
      </c>
    </row>
    <row r="291" spans="1:4">
      <c r="A291" s="11">
        <v>4</v>
      </c>
      <c r="B291" s="2" t="s">
        <v>67</v>
      </c>
      <c r="C291" s="8" t="str">
        <f t="shared" si="8"/>
        <v/>
      </c>
      <c r="D291" s="8">
        <f t="shared" si="9"/>
        <v>4</v>
      </c>
    </row>
    <row r="292" spans="1:4">
      <c r="A292" s="11">
        <v>4</v>
      </c>
      <c r="B292" s="2" t="s">
        <v>169</v>
      </c>
      <c r="C292" s="8">
        <f t="shared" si="8"/>
        <v>4</v>
      </c>
      <c r="D292" s="8" t="str">
        <f t="shared" si="9"/>
        <v/>
      </c>
    </row>
    <row r="293" spans="1:4">
      <c r="A293" s="11">
        <v>2</v>
      </c>
      <c r="B293" s="2" t="s">
        <v>67</v>
      </c>
      <c r="C293" s="8" t="str">
        <f t="shared" si="8"/>
        <v/>
      </c>
      <c r="D293" s="8">
        <f t="shared" si="9"/>
        <v>2</v>
      </c>
    </row>
    <row r="294" spans="1:4">
      <c r="A294" s="11">
        <v>4</v>
      </c>
      <c r="B294" s="2" t="s">
        <v>67</v>
      </c>
      <c r="C294" s="8" t="str">
        <f t="shared" si="8"/>
        <v/>
      </c>
      <c r="D294" s="8">
        <f t="shared" si="9"/>
        <v>4</v>
      </c>
    </row>
    <row r="295" spans="1:4">
      <c r="A295" s="11">
        <v>3</v>
      </c>
      <c r="B295" s="2" t="s">
        <v>169</v>
      </c>
      <c r="C295" s="8">
        <f t="shared" si="8"/>
        <v>3</v>
      </c>
      <c r="D295" s="8" t="str">
        <f t="shared" si="9"/>
        <v/>
      </c>
    </row>
    <row r="296" spans="1:4">
      <c r="A296" s="11">
        <v>4</v>
      </c>
      <c r="B296" s="2" t="s">
        <v>169</v>
      </c>
      <c r="C296" s="8">
        <f t="shared" si="8"/>
        <v>4</v>
      </c>
      <c r="D296" s="8" t="str">
        <f t="shared" si="9"/>
        <v/>
      </c>
    </row>
    <row r="297" spans="1:4">
      <c r="A297" s="11">
        <v>3</v>
      </c>
      <c r="B297" s="2" t="s">
        <v>67</v>
      </c>
      <c r="C297" s="8" t="str">
        <f t="shared" si="8"/>
        <v/>
      </c>
      <c r="D297" s="8">
        <f t="shared" si="9"/>
        <v>3</v>
      </c>
    </row>
    <row r="298" spans="1:4">
      <c r="A298" s="11">
        <v>4</v>
      </c>
      <c r="B298" s="2" t="s">
        <v>169</v>
      </c>
      <c r="C298" s="8">
        <f t="shared" si="8"/>
        <v>4</v>
      </c>
      <c r="D298" s="8" t="str">
        <f t="shared" si="9"/>
        <v/>
      </c>
    </row>
    <row r="299" spans="1:4">
      <c r="A299" s="11">
        <v>4</v>
      </c>
      <c r="B299" s="2" t="s">
        <v>67</v>
      </c>
      <c r="C299" s="8" t="str">
        <f t="shared" si="8"/>
        <v/>
      </c>
      <c r="D299" s="8">
        <f t="shared" si="9"/>
        <v>4</v>
      </c>
    </row>
    <row r="300" spans="1:4">
      <c r="A300" s="11">
        <v>4</v>
      </c>
      <c r="B300" s="2" t="s">
        <v>67</v>
      </c>
      <c r="C300" s="8" t="str">
        <f t="shared" si="8"/>
        <v/>
      </c>
      <c r="D300" s="8">
        <f t="shared" si="9"/>
        <v>4</v>
      </c>
    </row>
    <row r="301" spans="1:4">
      <c r="A301" s="11">
        <v>4</v>
      </c>
      <c r="B301" s="2" t="s">
        <v>169</v>
      </c>
      <c r="C301" s="8">
        <f t="shared" si="8"/>
        <v>4</v>
      </c>
      <c r="D301" s="8" t="str">
        <f t="shared" si="9"/>
        <v/>
      </c>
    </row>
    <row r="302" spans="1:4">
      <c r="A302" s="11">
        <v>4</v>
      </c>
      <c r="B302" s="2" t="s">
        <v>169</v>
      </c>
      <c r="C302" s="8">
        <f t="shared" si="8"/>
        <v>4</v>
      </c>
      <c r="D302" s="8" t="str">
        <f t="shared" si="9"/>
        <v/>
      </c>
    </row>
    <row r="303" spans="1:4">
      <c r="A303" s="11">
        <v>3</v>
      </c>
      <c r="B303" s="2" t="s">
        <v>67</v>
      </c>
      <c r="C303" s="8" t="str">
        <f t="shared" si="8"/>
        <v/>
      </c>
      <c r="D303" s="8">
        <f t="shared" si="9"/>
        <v>3</v>
      </c>
    </row>
    <row r="304" spans="1:4">
      <c r="A304" s="11">
        <v>3</v>
      </c>
      <c r="B304" s="2" t="s">
        <v>67</v>
      </c>
      <c r="C304" s="8" t="str">
        <f t="shared" si="8"/>
        <v/>
      </c>
      <c r="D304" s="8">
        <f t="shared" si="9"/>
        <v>3</v>
      </c>
    </row>
    <row r="305" spans="1:4">
      <c r="A305" s="11">
        <v>3</v>
      </c>
      <c r="B305" s="2" t="s">
        <v>67</v>
      </c>
      <c r="C305" s="8" t="str">
        <f t="shared" si="8"/>
        <v/>
      </c>
      <c r="D305" s="8">
        <f t="shared" si="9"/>
        <v>3</v>
      </c>
    </row>
    <row r="306" spans="1:4">
      <c r="A306" s="11">
        <v>3</v>
      </c>
      <c r="B306" s="2" t="s">
        <v>67</v>
      </c>
      <c r="C306" s="8" t="str">
        <f t="shared" si="8"/>
        <v/>
      </c>
      <c r="D306" s="8">
        <f t="shared" si="9"/>
        <v>3</v>
      </c>
    </row>
    <row r="307" spans="1:4">
      <c r="A307" s="11">
        <v>2</v>
      </c>
      <c r="B307" s="2" t="s">
        <v>169</v>
      </c>
      <c r="C307" s="8">
        <f t="shared" si="8"/>
        <v>2</v>
      </c>
      <c r="D307" s="8" t="str">
        <f t="shared" si="9"/>
        <v/>
      </c>
    </row>
    <row r="308" spans="1:4">
      <c r="A308" s="11">
        <v>4</v>
      </c>
      <c r="B308" s="2" t="s">
        <v>67</v>
      </c>
      <c r="C308" s="8" t="str">
        <f t="shared" si="8"/>
        <v/>
      </c>
      <c r="D308" s="8">
        <f t="shared" si="9"/>
        <v>4</v>
      </c>
    </row>
    <row r="309" spans="1:4">
      <c r="A309" s="11">
        <v>3</v>
      </c>
      <c r="B309" s="2" t="s">
        <v>169</v>
      </c>
      <c r="C309" s="8">
        <f t="shared" si="8"/>
        <v>3</v>
      </c>
      <c r="D309" s="8" t="str">
        <f t="shared" si="9"/>
        <v/>
      </c>
    </row>
    <row r="310" spans="1:4">
      <c r="A310" s="11">
        <v>1</v>
      </c>
      <c r="B310" s="2" t="s">
        <v>67</v>
      </c>
      <c r="C310" s="8" t="str">
        <f t="shared" si="8"/>
        <v/>
      </c>
      <c r="D310" s="8">
        <f t="shared" si="9"/>
        <v>1</v>
      </c>
    </row>
    <row r="311" spans="1:4">
      <c r="A311" s="11">
        <v>4</v>
      </c>
      <c r="B311" s="2" t="s">
        <v>169</v>
      </c>
      <c r="C311" s="8">
        <f t="shared" si="8"/>
        <v>4</v>
      </c>
      <c r="D311" s="8" t="str">
        <f t="shared" si="9"/>
        <v/>
      </c>
    </row>
  </sheetData>
  <mergeCells count="1">
    <mergeCell ref="A2:I2"/>
  </mergeCells>
  <pageMargins left="0.7" right="0.7" top="0.75" bottom="0.75" header="0.3" footer="0.3"/>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Raw_Employee_Data</vt:lpstr>
      <vt:lpstr>Clean_Employee_Data</vt:lpstr>
      <vt:lpstr>Master_Departments</vt:lpstr>
      <vt:lpstr>Dashboard</vt:lpstr>
      <vt:lpstr>Statistical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Zebyte Digital</cp:lastModifiedBy>
  <dcterms:created xsi:type="dcterms:W3CDTF">2026-08-01T19:21:28Z</dcterms:created>
  <dcterms:modified xsi:type="dcterms:W3CDTF">2026-08-02T14:45:27Z</dcterms:modified>
</cp:coreProperties>
</file>